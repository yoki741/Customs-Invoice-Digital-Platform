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talProgram\Invoice汇总\模板文件\"/>
    </mc:Choice>
  </mc:AlternateContent>
  <xr:revisionPtr revIDLastSave="0" documentId="13_ncr:1_{DA7C687A-14D5-4703-8C8F-B56CC91D3B2C}" xr6:coauthVersionLast="47" xr6:coauthVersionMax="47" xr10:uidLastSave="{00000000-0000-0000-0000-000000000000}"/>
  <bookViews>
    <workbookView xWindow="-120" yWindow="-120" windowWidth="29040" windowHeight="15720" activeTab="1" xr2:uid="{EE45A451-713F-409C-8BED-C22B0B402264}"/>
  </bookViews>
  <sheets>
    <sheet name="INV1" sheetId="5" r:id="rId1"/>
    <sheet name="PKL1" sheetId="6" r:id="rId2"/>
    <sheet name="Sheet1" sheetId="7" state="hidden" r:id="rId3"/>
  </sheets>
  <definedNames>
    <definedName name="_xlnm.Print_Area" localSheetId="0">'INV1'!$A$1:$J$51</definedName>
    <definedName name="_xlnm.Print_Area" localSheetId="1">'PKL1'!$A$1:$K$50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6" l="1"/>
  <c r="K40" i="6"/>
  <c r="A40" i="6"/>
  <c r="J24" i="5"/>
  <c r="J42" i="5" s="1"/>
  <c r="H19" i="6"/>
  <c r="C15" i="6"/>
  <c r="A19" i="6"/>
  <c r="F45" i="5"/>
  <c r="H43" i="6" s="1"/>
  <c r="A2" i="6"/>
  <c r="A1" i="6"/>
  <c r="A18" i="6"/>
  <c r="H18" i="6"/>
  <c r="B40" i="6"/>
  <c r="H49" i="6"/>
  <c r="H42" i="6"/>
  <c r="A41" i="6"/>
  <c r="C17" i="6"/>
  <c r="C16" i="6"/>
  <c r="A17" i="6"/>
  <c r="A16" i="6"/>
  <c r="J9" i="6"/>
  <c r="C14" i="6"/>
  <c r="C11" i="6"/>
  <c r="C12" i="6"/>
  <c r="C13" i="6"/>
  <c r="C10" i="6"/>
  <c r="C9" i="6"/>
  <c r="A9" i="6"/>
</calcChain>
</file>

<file path=xl/sharedStrings.xml><?xml version="1.0" encoding="utf-8"?>
<sst xmlns="http://schemas.openxmlformats.org/spreadsheetml/2006/main" count="55" uniqueCount="49">
  <si>
    <t>Consignee :</t>
  </si>
  <si>
    <t>Description of goods</t>
  </si>
  <si>
    <t>Amount</t>
  </si>
  <si>
    <t>Unit Price</t>
  </si>
  <si>
    <t>Quantity</t>
  </si>
  <si>
    <t>Total :</t>
  </si>
  <si>
    <t>PACKING LIST</t>
  </si>
  <si>
    <t>Gross Weight</t>
  </si>
  <si>
    <t>Net Weight</t>
  </si>
  <si>
    <t>(KGS)</t>
  </si>
  <si>
    <t>KGS</t>
  </si>
  <si>
    <t xml:space="preserve">Invoice No : </t>
    <phoneticPr fontId="2" type="noConversion"/>
  </si>
  <si>
    <t xml:space="preserve">Date : </t>
    <phoneticPr fontId="2" type="noConversion"/>
  </si>
  <si>
    <t>Marks &amp; Nos.</t>
    <phoneticPr fontId="2" type="noConversion"/>
  </si>
  <si>
    <t xml:space="preserve"> </t>
    <phoneticPr fontId="2" type="noConversion"/>
  </si>
  <si>
    <t>China</t>
  </si>
  <si>
    <t xml:space="preserve">Country of Origin: </t>
  </si>
  <si>
    <t>CONTAINER NO / SEAL NO:</t>
  </si>
  <si>
    <t>For and on behalf of</t>
  </si>
  <si>
    <t>Authorized &amp; Signature</t>
  </si>
  <si>
    <t>QTY</t>
  </si>
  <si>
    <t>USD</t>
  </si>
  <si>
    <t>UNIT</t>
  </si>
  <si>
    <t xml:space="preserve">   No of  </t>
  </si>
  <si>
    <t>Packinglist No:</t>
  </si>
  <si>
    <t>by TRUCK</t>
  </si>
  <si>
    <t>DAP PREY VOR</t>
  </si>
  <si>
    <t>VANCO INDUSTRIAL CO., LTD.</t>
  </si>
  <si>
    <t>NATIONAL ROAD NO.4, PHUM CHORK,</t>
  </si>
  <si>
    <t>KHUM BEIK CHAN, SROK ANGSNEURL,</t>
  </si>
  <si>
    <t>KANDAL PROVINCE, CAMBODIA</t>
  </si>
  <si>
    <t>TEL: 855-12921388 / 092648888</t>
  </si>
  <si>
    <t>EMAIL: camimp@eastexgarment.com</t>
    <phoneticPr fontId="2" type="noConversion"/>
  </si>
  <si>
    <t>VAT # L001-150000294</t>
  </si>
  <si>
    <t>PART OF 1X45'HQ</t>
    <phoneticPr fontId="2" type="noConversion"/>
  </si>
  <si>
    <t>INVOICE</t>
    <phoneticPr fontId="2" type="noConversion"/>
  </si>
  <si>
    <t>Place of Delivery:  PHNOM PENH,CAMBODIA</t>
    <phoneticPr fontId="2" type="noConversion"/>
  </si>
  <si>
    <t>Place of Discharge: PREY VOR,CAMBODIA</t>
    <phoneticPr fontId="2" type="noConversion"/>
  </si>
  <si>
    <t>N/M</t>
    <phoneticPr fontId="2" type="noConversion"/>
  </si>
  <si>
    <t>Place of initial receipt: SHAOXING,CHINA</t>
    <phoneticPr fontId="2" type="noConversion"/>
  </si>
  <si>
    <t>Ship mode:</t>
    <phoneticPr fontId="2" type="noConversion"/>
  </si>
  <si>
    <t>Port of loading: HUU NGHI BORDER, VIET NAM</t>
    <phoneticPr fontId="2" type="noConversion"/>
  </si>
  <si>
    <t>XMNCT2609087_CT</t>
    <phoneticPr fontId="2" type="noConversion"/>
  </si>
  <si>
    <t xml:space="preserve">NINGBO HAISHU BAIYI GARMENT ACCESSORY CO., LTD. </t>
    <phoneticPr fontId="2" type="noConversion"/>
  </si>
  <si>
    <r>
      <t>NO. 456, KEMAO ROAD, WANGCHUN INDUSTRIAL PARK, HAISHU DISTRICT,NINGBO CITY, ZHEJIANG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CHINA</t>
    </r>
    <phoneticPr fontId="2" type="noConversion"/>
  </si>
  <si>
    <t>MESH FABRIC</t>
  </si>
  <si>
    <t>95% RECYCLED POLYESTER 5% ELASTANE MESH</t>
  </si>
  <si>
    <t>REF:LY260905-1DM</t>
    <phoneticPr fontId="2" type="noConversion"/>
  </si>
  <si>
    <t>SZLU9863221/KAL0586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</si>
</sst>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¥&quot;* #,##0.00_ ;_ &quot;¥&quot;* \-#,##0.00_ ;_ &quot;¥&quot;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d/m/yyyy;@"/>
    <numFmt numFmtId="179" formatCode="0.0_);[Red]\(0.0\)"/>
    <numFmt numFmtId="180" formatCode="0.00_);[Red]\(0.00\)"/>
    <numFmt numFmtId="181" formatCode="0.00_ "/>
    <numFmt numFmtId="182" formatCode="[$USD]\ #,##0.00;[Red][$USD]\ #,##0.00"/>
  </numFmts>
  <fonts count="2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6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8"/>
      <name val="Calibri"/>
      <family val="2"/>
    </font>
    <font>
      <sz val="9"/>
      <color indexed="8"/>
      <name val="Verdana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u/>
      <sz val="10"/>
      <color theme="10"/>
      <name val="Arial"/>
      <family val="2"/>
    </font>
    <font>
      <sz val="12"/>
      <color rgb="FF0000CC"/>
      <name val="Calibri"/>
      <family val="2"/>
    </font>
    <font>
      <b/>
      <sz val="12"/>
      <color rgb="FF0000CC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2"/>
      <color rgb="FF254061"/>
      <name val="Cambria"/>
      <family val="1"/>
    </font>
    <font>
      <sz val="12"/>
      <color rgb="FF17365D"/>
      <name val="Cambria"/>
      <family val="1"/>
    </font>
    <font>
      <b/>
      <u/>
      <sz val="12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11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0" borderId="0" xfId="0" applyFont="1"/>
    <xf numFmtId="176" fontId="4" fillId="0" borderId="0" xfId="3" applyFont="1" applyFill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49" fontId="4" fillId="0" borderId="3" xfId="0" applyNumberFormat="1" applyFont="1" applyBorder="1" applyAlignment="1">
      <alignment horizontal="left"/>
    </xf>
    <xf numFmtId="4" fontId="4" fillId="0" borderId="0" xfId="0" applyNumberFormat="1" applyFont="1"/>
    <xf numFmtId="0" fontId="7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0" borderId="14" xfId="0" applyFont="1" applyBorder="1"/>
    <xf numFmtId="0" fontId="4" fillId="0" borderId="15" xfId="0" applyFont="1" applyBorder="1"/>
    <xf numFmtId="4" fontId="7" fillId="0" borderId="16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7" fillId="0" borderId="0" xfId="0" applyFont="1"/>
    <xf numFmtId="0" fontId="4" fillId="0" borderId="12" xfId="0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8" xfId="0" quotePrefix="1" applyFont="1" applyBorder="1"/>
    <xf numFmtId="0" fontId="4" fillId="0" borderId="9" xfId="0" quotePrefix="1" applyFont="1" applyBorder="1"/>
    <xf numFmtId="4" fontId="4" fillId="0" borderId="11" xfId="0" quotePrefix="1" applyNumberFormat="1" applyFont="1" applyBorder="1" applyAlignment="1">
      <alignment horizontal="center"/>
    </xf>
    <xf numFmtId="0" fontId="7" fillId="0" borderId="13" xfId="0" applyFont="1" applyBorder="1"/>
    <xf numFmtId="4" fontId="7" fillId="0" borderId="14" xfId="0" applyNumberFormat="1" applyFont="1" applyBorder="1"/>
    <xf numFmtId="4" fontId="7" fillId="0" borderId="0" xfId="0" applyNumberFormat="1" applyFont="1" applyAlignment="1">
      <alignment horizontal="left"/>
    </xf>
    <xf numFmtId="178" fontId="4" fillId="0" borderId="0" xfId="0" applyNumberFormat="1" applyFont="1" applyAlignment="1">
      <alignment horizontal="left"/>
    </xf>
    <xf numFmtId="179" fontId="4" fillId="0" borderId="12" xfId="0" applyNumberFormat="1" applyFont="1" applyBorder="1" applyAlignment="1">
      <alignment horizontal="center"/>
    </xf>
    <xf numFmtId="179" fontId="4" fillId="0" borderId="11" xfId="0" quotePrefix="1" applyNumberFormat="1" applyFont="1" applyBorder="1" applyAlignment="1">
      <alignment horizontal="center"/>
    </xf>
    <xf numFmtId="180" fontId="4" fillId="0" borderId="12" xfId="3" applyNumberFormat="1" applyFont="1" applyFill="1" applyBorder="1" applyAlignment="1">
      <alignment horizontal="center"/>
    </xf>
    <xf numFmtId="176" fontId="4" fillId="0" borderId="0" xfId="0" applyNumberFormat="1" applyFont="1"/>
    <xf numFmtId="14" fontId="4" fillId="0" borderId="0" xfId="0" applyNumberFormat="1" applyFont="1" applyAlignment="1">
      <alignment horizontal="right"/>
    </xf>
    <xf numFmtId="39" fontId="4" fillId="0" borderId="12" xfId="3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9" xfId="0" applyFont="1" applyBorder="1"/>
    <xf numFmtId="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4" xfId="0" applyFont="1" applyBorder="1" applyAlignment="1">
      <alignment horizontal="right"/>
    </xf>
    <xf numFmtId="0" fontId="7" fillId="0" borderId="2" xfId="0" applyFont="1" applyBorder="1"/>
    <xf numFmtId="176" fontId="7" fillId="0" borderId="0" xfId="0" applyNumberFormat="1" applyFont="1"/>
    <xf numFmtId="4" fontId="7" fillId="0" borderId="12" xfId="0" applyNumberFormat="1" applyFont="1" applyBorder="1" applyAlignment="1">
      <alignment horizontal="center"/>
    </xf>
    <xf numFmtId="39" fontId="7" fillId="0" borderId="12" xfId="3" applyNumberFormat="1" applyFont="1" applyFill="1" applyBorder="1" applyAlignment="1">
      <alignment horizontal="center"/>
    </xf>
    <xf numFmtId="0" fontId="16" fillId="0" borderId="0" xfId="0" applyFont="1"/>
    <xf numFmtId="0" fontId="4" fillId="0" borderId="0" xfId="0" applyFont="1" applyAlignment="1">
      <alignment horizontal="right"/>
    </xf>
    <xf numFmtId="178" fontId="10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15" fillId="0" borderId="7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176" fontId="7" fillId="0" borderId="0" xfId="3" applyFont="1" applyFill="1"/>
    <xf numFmtId="177" fontId="7" fillId="0" borderId="12" xfId="2" applyFont="1" applyFill="1" applyBorder="1" applyAlignment="1">
      <alignment horizontal="center"/>
    </xf>
    <xf numFmtId="182" fontId="7" fillId="0" borderId="2" xfId="2" applyNumberFormat="1" applyFont="1" applyFill="1" applyBorder="1" applyAlignment="1">
      <alignment horizontal="center"/>
    </xf>
    <xf numFmtId="176" fontId="4" fillId="0" borderId="0" xfId="3" applyFont="1" applyFill="1"/>
    <xf numFmtId="182" fontId="4" fillId="0" borderId="2" xfId="2" applyNumberFormat="1" applyFont="1" applyFill="1" applyBorder="1" applyAlignment="1">
      <alignment horizontal="center"/>
    </xf>
    <xf numFmtId="181" fontId="4" fillId="0" borderId="0" xfId="0" applyNumberFormat="1" applyFont="1"/>
    <xf numFmtId="4" fontId="4" fillId="0" borderId="16" xfId="0" applyNumberFormat="1" applyFont="1" applyBorder="1" applyAlignment="1">
      <alignment horizontal="center"/>
    </xf>
    <xf numFmtId="182" fontId="7" fillId="0" borderId="16" xfId="2" applyNumberFormat="1" applyFont="1" applyFill="1" applyBorder="1" applyAlignment="1">
      <alignment horizontal="center"/>
    </xf>
    <xf numFmtId="0" fontId="15" fillId="2" borderId="0" xfId="0" applyFont="1" applyFill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1" applyAlignment="1">
      <alignment vertical="center"/>
    </xf>
    <xf numFmtId="49" fontId="4" fillId="0" borderId="3" xfId="0" applyNumberFormat="1" applyFont="1" applyBorder="1"/>
    <xf numFmtId="44" fontId="4" fillId="0" borderId="0" xfId="0" applyNumberFormat="1" applyFont="1"/>
    <xf numFmtId="49" fontId="4" fillId="0" borderId="3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" fontId="0" fillId="0" borderId="0" xfId="0" applyNumberFormat="1"/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5" fillId="0" borderId="0" xfId="0" applyFont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 wrapText="1"/>
    </xf>
    <xf numFmtId="0" fontId="13" fillId="0" borderId="0" xfId="1" applyAlignment="1">
      <alignment horizontal="center" wrapText="1"/>
    </xf>
    <xf numFmtId="0" fontId="20" fillId="0" borderId="4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/>
    <xf numFmtId="0" fontId="0" fillId="0" borderId="10" xfId="0" applyBorder="1"/>
    <xf numFmtId="0" fontId="7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</cellXfs>
  <cellStyles count="4">
    <cellStyle name="常规" xfId="0" builtinId="0"/>
    <cellStyle name="超链接" xfId="1" builtinId="8"/>
    <cellStyle name="货币" xfId="2" builtinId="4"/>
    <cellStyle name="千位分隔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.EXP@EASTEXGARME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6910-5E70-474E-BD40-ABECA83920EF}">
  <sheetPr>
    <pageSetUpPr fitToPage="1"/>
  </sheetPr>
  <dimension ref="A1:O183"/>
  <sheetViews>
    <sheetView view="pageBreakPreview" topLeftCell="A16" zoomScaleNormal="100" zoomScaleSheetLayoutView="100" workbookViewId="0">
      <selection activeCell="A37" sqref="A37:B38"/>
    </sheetView>
  </sheetViews>
  <sheetFormatPr defaultRowHeight="18" customHeight="1"/>
  <cols>
    <col min="1" max="1" width="28.42578125" style="1" customWidth="1"/>
    <col min="2" max="2" width="24.85546875" style="1" customWidth="1"/>
    <col min="3" max="3" width="6.5703125" style="1" customWidth="1"/>
    <col min="4" max="4" width="28.42578125" style="1" customWidth="1"/>
    <col min="5" max="5" width="15.42578125" style="1" customWidth="1"/>
    <col min="6" max="6" width="27.5703125" style="1" customWidth="1"/>
    <col min="7" max="7" width="14" style="1" bestFit="1" customWidth="1"/>
    <col min="8" max="8" width="14" style="1" customWidth="1"/>
    <col min="9" max="9" width="15.85546875" style="1" customWidth="1"/>
    <col min="10" max="10" width="22.140625" style="1" customWidth="1"/>
    <col min="11" max="16384" width="9.140625" style="1"/>
  </cols>
  <sheetData>
    <row r="1" spans="1:11" ht="24.95" customHeight="1">
      <c r="A1" s="91" t="s">
        <v>43</v>
      </c>
      <c r="B1" s="91"/>
      <c r="C1" s="91"/>
      <c r="D1" s="91"/>
      <c r="E1" s="91"/>
      <c r="F1" s="91"/>
      <c r="G1" s="91"/>
      <c r="H1" s="91"/>
      <c r="I1" s="91"/>
      <c r="J1" s="91"/>
    </row>
    <row r="2" spans="1:11" ht="18" customHeight="1">
      <c r="A2" s="94" t="s">
        <v>44</v>
      </c>
      <c r="B2" s="92"/>
      <c r="C2" s="92"/>
      <c r="D2" s="92"/>
      <c r="E2" s="92"/>
      <c r="F2" s="92"/>
      <c r="G2" s="92"/>
      <c r="H2" s="92"/>
      <c r="I2" s="92"/>
      <c r="J2" s="92"/>
    </row>
    <row r="3" spans="1:11" ht="18" customHeight="1">
      <c r="A3" s="95"/>
      <c r="B3" s="92"/>
      <c r="C3" s="92"/>
      <c r="D3" s="92"/>
      <c r="E3" s="92"/>
      <c r="F3" s="92"/>
      <c r="G3" s="92"/>
      <c r="H3" s="92"/>
      <c r="I3" s="92"/>
      <c r="J3" s="92"/>
      <c r="K3" s="1" t="s">
        <v>14</v>
      </c>
    </row>
    <row r="4" spans="1:11" ht="18" customHeight="1">
      <c r="A4" s="95"/>
      <c r="B4" s="92"/>
      <c r="C4" s="92"/>
      <c r="D4" s="92"/>
      <c r="E4" s="92"/>
      <c r="F4" s="92"/>
      <c r="G4" s="92"/>
      <c r="H4" s="92"/>
      <c r="I4" s="92"/>
      <c r="J4" s="92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9.9499999999999993" customHeight="1"/>
    <row r="7" spans="1:11" ht="24.95" customHeight="1">
      <c r="A7" s="109" t="s">
        <v>35</v>
      </c>
      <c r="B7" s="109"/>
      <c r="C7" s="109"/>
      <c r="D7" s="109"/>
      <c r="E7" s="109"/>
      <c r="F7" s="109"/>
      <c r="G7" s="109"/>
      <c r="H7" s="109"/>
      <c r="I7" s="109"/>
      <c r="J7" s="109"/>
    </row>
    <row r="8" spans="1:11" ht="9.9499999999999993" customHeight="1"/>
    <row r="9" spans="1:11" ht="18" customHeight="1">
      <c r="A9" s="1" t="s">
        <v>0</v>
      </c>
      <c r="B9" s="74" t="s">
        <v>27</v>
      </c>
      <c r="I9" s="55" t="s">
        <v>12</v>
      </c>
      <c r="J9" s="56">
        <v>46270</v>
      </c>
    </row>
    <row r="10" spans="1:11" ht="18" customHeight="1">
      <c r="B10" s="74" t="s">
        <v>28</v>
      </c>
      <c r="F10" s="1" t="s">
        <v>14</v>
      </c>
      <c r="I10" s="57" t="s">
        <v>11</v>
      </c>
      <c r="J10" s="102" t="s">
        <v>42</v>
      </c>
    </row>
    <row r="11" spans="1:11" ht="18" customHeight="1">
      <c r="B11" s="74" t="s">
        <v>29</v>
      </c>
      <c r="I11" s="10"/>
      <c r="J11" s="103"/>
    </row>
    <row r="12" spans="1:11" ht="18" customHeight="1">
      <c r="B12" s="74" t="s">
        <v>30</v>
      </c>
      <c r="I12" s="10"/>
      <c r="J12" s="103"/>
    </row>
    <row r="13" spans="1:11" ht="18" customHeight="1">
      <c r="B13" s="74" t="s">
        <v>31</v>
      </c>
      <c r="I13" s="10"/>
      <c r="J13" s="103"/>
    </row>
    <row r="14" spans="1:11" ht="18" customHeight="1">
      <c r="B14" s="76" t="s">
        <v>32</v>
      </c>
      <c r="I14" s="10"/>
      <c r="J14" s="103"/>
    </row>
    <row r="15" spans="1:11" ht="18" customHeight="1">
      <c r="B15" s="75" t="s">
        <v>33</v>
      </c>
      <c r="E15"/>
      <c r="I15" s="10"/>
      <c r="J15" s="103"/>
    </row>
    <row r="16" spans="1:11" ht="18" customHeight="1">
      <c r="A16" s="45" t="s">
        <v>16</v>
      </c>
      <c r="B16" s="58" t="s">
        <v>15</v>
      </c>
      <c r="I16" s="10"/>
      <c r="J16" s="103"/>
    </row>
    <row r="17" spans="1:15" ht="19.899999999999999" customHeight="1">
      <c r="A17" s="73" t="s">
        <v>40</v>
      </c>
      <c r="B17" s="73" t="s">
        <v>25</v>
      </c>
      <c r="G17" s="59"/>
    </row>
    <row r="18" spans="1:15" ht="18" customHeight="1">
      <c r="A18" s="59" t="s">
        <v>39</v>
      </c>
      <c r="B18" s="3"/>
      <c r="C18" s="3"/>
      <c r="D18" s="3"/>
      <c r="E18" s="3"/>
      <c r="F18" s="3"/>
      <c r="G18" s="59" t="s">
        <v>37</v>
      </c>
      <c r="H18" s="3"/>
      <c r="I18" s="3"/>
      <c r="J18" s="3"/>
      <c r="O18"/>
    </row>
    <row r="19" spans="1:15" ht="18" customHeight="1">
      <c r="A19" s="59" t="s">
        <v>41</v>
      </c>
      <c r="G19" s="59" t="s">
        <v>36</v>
      </c>
    </row>
    <row r="20" spans="1:15" ht="18" customHeight="1">
      <c r="A20" s="11" t="s">
        <v>13</v>
      </c>
      <c r="B20" s="13"/>
      <c r="C20" s="11"/>
      <c r="D20" s="12" t="s">
        <v>1</v>
      </c>
      <c r="E20" s="12"/>
      <c r="F20" s="13"/>
      <c r="G20" s="110" t="s">
        <v>20</v>
      </c>
      <c r="H20" s="110"/>
      <c r="I20" s="60" t="s">
        <v>3</v>
      </c>
      <c r="J20" s="61" t="s">
        <v>2</v>
      </c>
    </row>
    <row r="21" spans="1:15" ht="18" customHeight="1">
      <c r="A21" s="15"/>
      <c r="B21" s="17"/>
      <c r="C21" s="15"/>
      <c r="D21" s="16"/>
      <c r="E21" s="16"/>
      <c r="F21" s="17"/>
      <c r="G21" s="98" t="s">
        <v>10</v>
      </c>
      <c r="H21" s="99"/>
      <c r="I21" s="62" t="s">
        <v>21</v>
      </c>
      <c r="J21" s="63" t="s">
        <v>21</v>
      </c>
    </row>
    <row r="22" spans="1:15" ht="18" customHeight="1">
      <c r="A22"/>
      <c r="B22" s="5"/>
      <c r="C22" s="6"/>
      <c r="F22" s="5"/>
      <c r="I22" s="96" t="s">
        <v>26</v>
      </c>
      <c r="J22" s="97"/>
    </row>
    <row r="23" spans="1:15" ht="18" customHeight="1">
      <c r="A23" s="6" t="s">
        <v>38</v>
      </c>
      <c r="B23" s="5"/>
      <c r="C23" s="6"/>
      <c r="F23" s="5"/>
      <c r="G23" s="4"/>
      <c r="I23" s="19"/>
      <c r="J23" s="64"/>
    </row>
    <row r="24" spans="1:15" ht="18" customHeight="1">
      <c r="A24" s="7"/>
      <c r="B24" s="5"/>
      <c r="C24" s="6"/>
      <c r="D24" s="26" t="s">
        <v>45</v>
      </c>
      <c r="F24" s="5"/>
      <c r="G24" s="65">
        <v>305</v>
      </c>
      <c r="H24" s="26" t="s">
        <v>10</v>
      </c>
      <c r="I24" s="66">
        <v>6</v>
      </c>
      <c r="J24" s="67">
        <f>G24*I24</f>
        <v>1830</v>
      </c>
    </row>
    <row r="25" spans="1:15" ht="18" customHeight="1">
      <c r="A25" s="7"/>
      <c r="B25" s="5"/>
      <c r="D25" s="1" t="s">
        <v>46</v>
      </c>
      <c r="F25" s="5"/>
      <c r="G25" s="68"/>
      <c r="H25" s="26"/>
      <c r="I25" s="66"/>
      <c r="J25" s="67"/>
    </row>
    <row r="26" spans="1:15" ht="18" customHeight="1">
      <c r="A26" s="7"/>
      <c r="B26" s="5"/>
      <c r="F26" s="5"/>
      <c r="G26" s="68"/>
      <c r="I26" s="19"/>
      <c r="J26" s="69"/>
    </row>
    <row r="27" spans="1:15" ht="18" customHeight="1">
      <c r="A27" s="7"/>
      <c r="B27" s="5"/>
      <c r="F27" s="5"/>
      <c r="G27" s="65"/>
      <c r="H27" s="26"/>
      <c r="I27" s="66"/>
      <c r="J27" s="67"/>
    </row>
    <row r="28" spans="1:15" ht="18" customHeight="1">
      <c r="A28" s="7"/>
      <c r="B28" s="5"/>
      <c r="F28" s="5"/>
      <c r="G28" s="65"/>
      <c r="H28" s="26"/>
      <c r="I28" s="66"/>
      <c r="J28" s="67"/>
    </row>
    <row r="29" spans="1:15" ht="18" customHeight="1">
      <c r="A29" s="7"/>
      <c r="B29" s="5"/>
      <c r="F29" s="5"/>
      <c r="G29" s="65"/>
      <c r="H29" s="26"/>
      <c r="I29" s="66"/>
      <c r="J29" s="67"/>
    </row>
    <row r="30" spans="1:15" ht="18" customHeight="1">
      <c r="A30" s="7"/>
      <c r="B30" s="5"/>
      <c r="F30" s="5"/>
      <c r="G30" s="65"/>
      <c r="H30" s="26"/>
      <c r="I30" s="66"/>
      <c r="J30" s="67"/>
    </row>
    <row r="31" spans="1:15" ht="18" customHeight="1">
      <c r="A31" s="7"/>
      <c r="B31" s="5"/>
      <c r="F31" s="5"/>
      <c r="G31" s="65"/>
      <c r="H31" s="26"/>
      <c r="I31" s="66"/>
      <c r="J31" s="67"/>
    </row>
    <row r="32" spans="1:15" ht="18" customHeight="1">
      <c r="A32" s="7"/>
      <c r="B32" s="5"/>
      <c r="C32" s="6"/>
      <c r="F32" s="5"/>
      <c r="G32" s="4"/>
      <c r="I32" s="19"/>
      <c r="J32" s="69"/>
    </row>
    <row r="33" spans="1:10" ht="18" customHeight="1">
      <c r="A33" s="7"/>
      <c r="B33" s="5"/>
      <c r="C33" s="6"/>
      <c r="D33" s="26"/>
      <c r="F33" s="5"/>
      <c r="G33" s="65"/>
      <c r="H33" s="26"/>
      <c r="I33" s="66"/>
      <c r="J33" s="67"/>
    </row>
    <row r="34" spans="1:10" ht="18" customHeight="1">
      <c r="A34" s="7"/>
      <c r="B34" s="5"/>
      <c r="C34" s="6"/>
      <c r="F34" s="5"/>
      <c r="G34" s="4"/>
      <c r="I34" s="19"/>
      <c r="J34" s="69"/>
    </row>
    <row r="35" spans="1:10" ht="18" customHeight="1">
      <c r="A35" s="7"/>
      <c r="B35" s="5"/>
      <c r="C35" s="6"/>
      <c r="F35" s="5"/>
      <c r="G35" s="4"/>
      <c r="I35" s="19"/>
      <c r="J35" s="69"/>
    </row>
    <row r="36" spans="1:10" ht="18" customHeight="1">
      <c r="A36" s="7"/>
      <c r="B36" s="5"/>
      <c r="C36" s="6"/>
      <c r="F36" s="5"/>
      <c r="G36" s="4"/>
      <c r="I36" s="19"/>
      <c r="J36" s="69"/>
    </row>
    <row r="37" spans="1:10" ht="18" customHeight="1">
      <c r="A37" s="100" t="s">
        <v>47</v>
      </c>
      <c r="B37" s="101"/>
      <c r="C37" s="6"/>
      <c r="F37" s="5"/>
      <c r="G37" s="4"/>
      <c r="I37" s="19"/>
      <c r="J37" s="69"/>
    </row>
    <row r="38" spans="1:10" ht="11.25" customHeight="1">
      <c r="A38" s="100"/>
      <c r="B38" s="101"/>
      <c r="C38" s="6"/>
      <c r="F38" s="5"/>
      <c r="G38" s="70"/>
      <c r="I38" s="19"/>
      <c r="J38" s="69"/>
    </row>
    <row r="39" spans="1:10" ht="18" customHeight="1">
      <c r="A39" s="79"/>
      <c r="B39" s="80"/>
      <c r="C39" s="6"/>
      <c r="F39" s="5"/>
      <c r="G39" s="4"/>
      <c r="I39" s="19"/>
      <c r="J39" s="69"/>
    </row>
    <row r="40" spans="1:10" ht="18" customHeight="1">
      <c r="A40" s="7"/>
      <c r="B40" s="5"/>
      <c r="C40" s="6"/>
      <c r="F40" s="5"/>
      <c r="G40" s="70"/>
      <c r="I40" s="19"/>
      <c r="J40" s="69"/>
    </row>
    <row r="41" spans="1:10" ht="18" customHeight="1">
      <c r="A41" s="15"/>
      <c r="B41" s="17"/>
      <c r="C41" s="6"/>
      <c r="D41" s="26"/>
      <c r="F41" s="5"/>
      <c r="G41" s="4"/>
      <c r="I41" s="19"/>
      <c r="J41" s="69"/>
    </row>
    <row r="42" spans="1:10" ht="18" customHeight="1">
      <c r="A42" s="104"/>
      <c r="B42" s="105"/>
      <c r="C42" s="106" t="s">
        <v>5</v>
      </c>
      <c r="D42" s="107"/>
      <c r="E42" s="107"/>
      <c r="F42" s="108"/>
      <c r="G42" s="21"/>
      <c r="H42" s="21"/>
      <c r="I42" s="71"/>
      <c r="J42" s="72">
        <f>ROUND(SUM(J23:J41),2)</f>
        <v>1830</v>
      </c>
    </row>
    <row r="43" spans="1:10" ht="18.75" customHeight="1">
      <c r="A43" s="45" t="s">
        <v>17</v>
      </c>
      <c r="B43" s="26"/>
      <c r="C43" s="26"/>
      <c r="D43" s="26"/>
      <c r="E43" s="26"/>
      <c r="F43" s="26"/>
      <c r="I43" s="25"/>
      <c r="J43" s="25"/>
    </row>
    <row r="44" spans="1:10" ht="18" customHeight="1">
      <c r="A44" s="73" t="s">
        <v>48</v>
      </c>
      <c r="B44" s="26"/>
      <c r="C44" s="26"/>
      <c r="D44" s="26"/>
      <c r="E44" s="26"/>
      <c r="F44" s="45" t="s">
        <v>18</v>
      </c>
      <c r="G44" s="26"/>
      <c r="H44" s="26"/>
      <c r="I44" s="26"/>
      <c r="J44" s="26"/>
    </row>
    <row r="45" spans="1:10" ht="18" customHeight="1">
      <c r="A45" s="45" t="s">
        <v>34</v>
      </c>
      <c r="F45" s="45" t="str">
        <f>A1</f>
        <v xml:space="preserve">NINGBO HAISHU BAIYI GARMENT ACCESSORY CO., LTD. </v>
      </c>
      <c r="G45" s="26"/>
      <c r="H45" s="26"/>
      <c r="I45" s="26"/>
      <c r="J45" s="26"/>
    </row>
    <row r="50" spans="6:8" ht="18" customHeight="1">
      <c r="F50" s="46"/>
      <c r="G50" s="46"/>
      <c r="H50" s="46"/>
    </row>
    <row r="51" spans="6:8" ht="18" customHeight="1">
      <c r="F51" s="45" t="s">
        <v>19</v>
      </c>
      <c r="G51" s="45"/>
      <c r="H51" s="45"/>
    </row>
    <row r="114" spans="1:10" ht="18" customHeight="1">
      <c r="A114" s="3"/>
      <c r="B114" s="3"/>
      <c r="C114" s="3"/>
      <c r="D114" s="3"/>
      <c r="E114" s="3"/>
      <c r="F114" s="3"/>
    </row>
    <row r="115" spans="1:10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8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8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8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8" customHeight="1">
      <c r="G183" s="3"/>
      <c r="H183" s="3"/>
      <c r="I183" s="3"/>
      <c r="J183" s="3"/>
    </row>
  </sheetData>
  <mergeCells count="12">
    <mergeCell ref="A37:B38"/>
    <mergeCell ref="J10:J16"/>
    <mergeCell ref="A42:B42"/>
    <mergeCell ref="C42:F42"/>
    <mergeCell ref="A7:J7"/>
    <mergeCell ref="G20:H20"/>
    <mergeCell ref="A1:J1"/>
    <mergeCell ref="A2:J2"/>
    <mergeCell ref="A3:J3"/>
    <mergeCell ref="A4:J4"/>
    <mergeCell ref="I22:J22"/>
    <mergeCell ref="G21:H21"/>
  </mergeCells>
  <phoneticPr fontId="2" type="noConversion"/>
  <hyperlinks>
    <hyperlink ref="B14" r:id="rId1" display="mailto:IMP.EXP@EASTEXGARMENT.COM" xr:uid="{CBB95058-9832-4507-85D5-02E69FB60550}"/>
  </hyperlinks>
  <printOptions horizontalCentered="1"/>
  <pageMargins left="0" right="0" top="0.51181102362204722" bottom="0.51181102362204722" header="0.51181102362204722" footer="0.51181102362204722"/>
  <pageSetup paperSize="9" scale="54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CC37-2D68-4FCA-8F63-FE12EDA0DABA}">
  <sheetPr>
    <pageSetUpPr fitToPage="1"/>
  </sheetPr>
  <dimension ref="A1:L181"/>
  <sheetViews>
    <sheetView tabSelected="1" view="pageBreakPreview" topLeftCell="A22" zoomScaleNormal="100" zoomScaleSheetLayoutView="100" workbookViewId="0">
      <selection activeCell="I24" sqref="I24"/>
    </sheetView>
  </sheetViews>
  <sheetFormatPr defaultRowHeight="18" customHeight="1"/>
  <cols>
    <col min="1" max="1" width="31.7109375" style="1" customWidth="1"/>
    <col min="2" max="2" width="11.140625" style="1" customWidth="1"/>
    <col min="3" max="3" width="18.28515625" style="1" customWidth="1"/>
    <col min="4" max="4" width="6.28515625" style="1" customWidth="1"/>
    <col min="5" max="5" width="35.42578125" style="1" customWidth="1"/>
    <col min="6" max="6" width="19.85546875" style="1" customWidth="1"/>
    <col min="7" max="7" width="15.28515625" style="1" customWidth="1"/>
    <col min="8" max="8" width="17" style="1" customWidth="1"/>
    <col min="9" max="9" width="8" style="1" customWidth="1"/>
    <col min="10" max="10" width="18.28515625" style="1" customWidth="1"/>
    <col min="11" max="11" width="27.140625" style="1" customWidth="1"/>
    <col min="12" max="13" width="9.140625" style="1"/>
    <col min="14" max="14" width="9.7109375" style="1" bestFit="1" customWidth="1"/>
    <col min="15" max="16384" width="9.140625" style="1"/>
  </cols>
  <sheetData>
    <row r="1" spans="1:11" ht="24.95" customHeight="1">
      <c r="A1" s="91" t="str">
        <f>'INV1'!A1</f>
        <v xml:space="preserve">NINGBO HAISHU BAIYI GARMENT ACCESSORY CO., LTD. 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ht="18" customHeight="1">
      <c r="A2" s="92" t="str">
        <f>'INV1'!A2</f>
        <v>NO. 456, KEMAO ROAD, WANGCHUN INDUSTRIAL PARK, HAISHU DISTRICT,NINGBO CITY, ZHEJIANG，CHINA</v>
      </c>
      <c r="B2" s="92"/>
      <c r="C2" s="92"/>
      <c r="D2" s="92"/>
      <c r="E2" s="92"/>
      <c r="F2" s="92"/>
      <c r="G2" s="92"/>
      <c r="H2" s="92"/>
      <c r="I2" s="92"/>
      <c r="J2" s="92"/>
      <c r="K2" s="92"/>
    </row>
    <row r="3" spans="1:11" ht="18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 ht="18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.9499999999999993" customHeight="1"/>
    <row r="7" spans="1:11" ht="24.95" customHeight="1">
      <c r="A7" s="89" t="s">
        <v>6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1" ht="9.9499999999999993" customHeight="1"/>
    <row r="9" spans="1:11" ht="18" customHeight="1">
      <c r="A9" s="1" t="str">
        <f>'INV1'!A9</f>
        <v>Consignee :</v>
      </c>
      <c r="C9" s="1" t="str">
        <f>'INV1'!B9</f>
        <v>VANCO INDUSTRIAL CO., LTD.</v>
      </c>
      <c r="J9" s="42" t="str">
        <f>'INV1'!I9</f>
        <v xml:space="preserve">Date : </v>
      </c>
      <c r="K9" s="37"/>
    </row>
    <row r="10" spans="1:11" ht="18" customHeight="1">
      <c r="C10" s="1" t="str">
        <f>'INV1'!B10</f>
        <v>NATIONAL ROAD NO.4, PHUM CHORK,</v>
      </c>
      <c r="I10" s="93" t="s">
        <v>24</v>
      </c>
      <c r="J10" s="93"/>
    </row>
    <row r="11" spans="1:11" ht="18" customHeight="1">
      <c r="C11" s="1" t="str">
        <f>'INV1'!B11</f>
        <v>KHUM BEIK CHAN, SROK ANGSNEURL,</v>
      </c>
    </row>
    <row r="12" spans="1:11" ht="18" customHeight="1">
      <c r="C12" s="1" t="str">
        <f>'INV1'!B12</f>
        <v>KANDAL PROVINCE, CAMBODIA</v>
      </c>
      <c r="J12" s="10"/>
    </row>
    <row r="13" spans="1:11" ht="18" customHeight="1">
      <c r="C13" s="1" t="str">
        <f>'INV1'!B13</f>
        <v>TEL: 855-12921388 / 092648888</v>
      </c>
      <c r="J13" s="10"/>
    </row>
    <row r="14" spans="1:11" ht="18" customHeight="1">
      <c r="C14" s="1" t="str">
        <f>'INV1'!B14</f>
        <v>EMAIL: camimp@eastexgarment.com</v>
      </c>
      <c r="J14" s="10"/>
    </row>
    <row r="15" spans="1:11" ht="18" customHeight="1">
      <c r="C15" s="1" t="str">
        <f>'INV1'!B15</f>
        <v>VAT # L001-150000294</v>
      </c>
      <c r="I15" s="10"/>
    </row>
    <row r="16" spans="1:11" ht="18" customHeight="1">
      <c r="A16" s="86" t="str">
        <f>'INV1'!A16</f>
        <v xml:space="preserve">Country of Origin: </v>
      </c>
      <c r="B16" s="86"/>
      <c r="C16" s="45" t="str">
        <f>'INV1'!B16</f>
        <v>China</v>
      </c>
      <c r="I16" s="10"/>
    </row>
    <row r="17" spans="1:12" ht="19.899999999999999" customHeight="1">
      <c r="A17" s="86" t="str">
        <f>'INV1'!A17</f>
        <v>Ship mode:</v>
      </c>
      <c r="B17" s="86"/>
      <c r="C17" s="45" t="str">
        <f>'INV1'!B17</f>
        <v>by TRUCK</v>
      </c>
      <c r="H17" s="54"/>
    </row>
    <row r="18" spans="1:12" ht="18" customHeight="1">
      <c r="A18" s="54" t="str">
        <f>'INV1'!A18</f>
        <v>Place of initial receipt: SHAOXING,CHINA</v>
      </c>
      <c r="B18" s="54"/>
      <c r="C18" s="54"/>
      <c r="D18" s="54"/>
      <c r="E18" s="54"/>
      <c r="F18" s="54"/>
      <c r="G18" s="54"/>
      <c r="H18" s="54" t="str">
        <f>'INV1'!G18</f>
        <v>Place of Discharge: PREY VOR,CAMBODIA</v>
      </c>
    </row>
    <row r="19" spans="1:12" ht="21.6" customHeight="1">
      <c r="A19" s="54" t="str">
        <f>'INV1'!A19</f>
        <v>Port of loading: HUU NGHI BORDER, VIET NAM</v>
      </c>
      <c r="H19" s="54" t="str">
        <f>'INV1'!G19</f>
        <v>Place of Delivery:  PHNOM PENH,CAMBODIA</v>
      </c>
    </row>
    <row r="20" spans="1:12" ht="18" customHeight="1">
      <c r="A20" s="49" t="s">
        <v>23</v>
      </c>
      <c r="B20" s="12" t="s">
        <v>22</v>
      </c>
      <c r="C20" s="12"/>
      <c r="D20" s="11"/>
      <c r="E20" s="12" t="s">
        <v>1</v>
      </c>
      <c r="F20" s="12"/>
      <c r="G20" s="13"/>
      <c r="H20" s="90" t="s">
        <v>4</v>
      </c>
      <c r="I20" s="90"/>
      <c r="J20" s="14" t="s">
        <v>8</v>
      </c>
      <c r="K20" s="14" t="s">
        <v>7</v>
      </c>
    </row>
    <row r="21" spans="1:12" ht="18" customHeight="1">
      <c r="A21" s="15"/>
      <c r="B21" s="16"/>
      <c r="C21" s="16"/>
      <c r="D21" s="15"/>
      <c r="E21" s="16"/>
      <c r="F21" s="16"/>
      <c r="G21" s="17"/>
      <c r="H21" s="16"/>
      <c r="I21" s="16"/>
      <c r="J21" s="18" t="s">
        <v>9</v>
      </c>
      <c r="K21" s="18" t="s">
        <v>9</v>
      </c>
    </row>
    <row r="22" spans="1:12" ht="18" customHeight="1">
      <c r="A22" s="6"/>
      <c r="D22" s="6"/>
      <c r="G22" s="5"/>
      <c r="J22" s="27"/>
      <c r="K22" s="27"/>
    </row>
    <row r="23" spans="1:12" ht="18" customHeight="1">
      <c r="A23" s="6"/>
      <c r="B23" s="28"/>
      <c r="C23" s="29"/>
      <c r="D23" s="6"/>
      <c r="G23" s="5"/>
      <c r="H23" s="4"/>
      <c r="J23" s="19"/>
      <c r="K23" s="19"/>
      <c r="L23" s="8"/>
    </row>
    <row r="24" spans="1:12" ht="20.25" customHeight="1">
      <c r="A24" s="6"/>
      <c r="B24" s="28"/>
      <c r="D24" s="30"/>
      <c r="E24" s="26"/>
      <c r="F24" s="26"/>
      <c r="G24" s="50"/>
      <c r="H24" s="51"/>
      <c r="I24" s="26"/>
      <c r="J24" s="52"/>
      <c r="K24" s="53"/>
    </row>
    <row r="25" spans="1:12" ht="18" customHeight="1">
      <c r="A25" s="6"/>
      <c r="B25" s="28"/>
      <c r="D25" s="30"/>
      <c r="G25" s="5"/>
      <c r="H25" s="41"/>
      <c r="J25" s="19"/>
      <c r="K25" s="43"/>
    </row>
    <row r="26" spans="1:12" ht="18" customHeight="1">
      <c r="A26" s="6"/>
      <c r="B26" s="28"/>
      <c r="D26" s="30"/>
      <c r="G26" s="5"/>
      <c r="H26" s="41"/>
      <c r="J26" s="19"/>
      <c r="K26" s="43"/>
    </row>
    <row r="27" spans="1:12" ht="18" customHeight="1">
      <c r="A27" s="6"/>
      <c r="B27" s="28"/>
      <c r="D27" s="30"/>
      <c r="G27" s="5"/>
      <c r="H27" s="51"/>
      <c r="I27" s="26"/>
      <c r="J27" s="52"/>
      <c r="K27" s="53"/>
    </row>
    <row r="28" spans="1:12" ht="18" customHeight="1">
      <c r="A28" s="6"/>
      <c r="B28" s="28"/>
      <c r="D28" s="30"/>
      <c r="G28" s="5"/>
      <c r="H28" s="51"/>
      <c r="I28" s="26"/>
      <c r="J28" s="52"/>
      <c r="K28" s="53"/>
    </row>
    <row r="29" spans="1:12" ht="17.25" customHeight="1">
      <c r="A29" s="6"/>
      <c r="B29" s="28"/>
      <c r="D29" s="30"/>
      <c r="G29" s="5"/>
      <c r="H29" s="41"/>
      <c r="J29" s="19"/>
      <c r="K29" s="43"/>
    </row>
    <row r="30" spans="1:12" ht="17.25" customHeight="1">
      <c r="A30" s="6"/>
      <c r="B30" s="28"/>
      <c r="D30" s="30"/>
      <c r="G30" s="5"/>
      <c r="H30" s="82"/>
      <c r="I30" s="26"/>
      <c r="J30" s="52"/>
      <c r="K30" s="53"/>
    </row>
    <row r="31" spans="1:12" ht="17.25" customHeight="1">
      <c r="A31" s="6"/>
      <c r="B31" s="28"/>
      <c r="D31" s="30"/>
      <c r="G31" s="5"/>
      <c r="H31" s="51"/>
      <c r="I31" s="26"/>
      <c r="J31" s="52"/>
      <c r="K31" s="53"/>
    </row>
    <row r="32" spans="1:12" ht="17.25" customHeight="1">
      <c r="A32" s="77"/>
      <c r="B32" s="28"/>
      <c r="D32" s="30"/>
      <c r="G32" s="5"/>
      <c r="H32" s="41"/>
      <c r="J32" s="19"/>
      <c r="K32" s="43"/>
    </row>
    <row r="33" spans="1:11" ht="17.25" customHeight="1">
      <c r="A33" s="6"/>
      <c r="B33" s="28"/>
      <c r="D33" s="30"/>
      <c r="G33" s="5"/>
      <c r="H33" s="51"/>
      <c r="I33" s="26"/>
      <c r="J33" s="52"/>
      <c r="K33" s="53"/>
    </row>
    <row r="34" spans="1:11" ht="17.25" customHeight="1">
      <c r="A34" s="6"/>
      <c r="B34" s="28"/>
      <c r="D34" s="30"/>
      <c r="G34" s="5"/>
      <c r="H34" s="41"/>
      <c r="J34" s="19"/>
      <c r="K34" s="43"/>
    </row>
    <row r="35" spans="1:11" ht="15" customHeight="1">
      <c r="A35" s="83" t="s">
        <v>47</v>
      </c>
      <c r="B35" s="84"/>
      <c r="C35" s="85"/>
      <c r="D35" s="30"/>
      <c r="G35" s="5"/>
      <c r="H35" s="41"/>
      <c r="J35" s="19"/>
      <c r="K35" s="40"/>
    </row>
    <row r="36" spans="1:11" ht="13.5" customHeight="1">
      <c r="A36" s="83"/>
      <c r="B36" s="84"/>
      <c r="C36" s="85"/>
      <c r="D36" s="30"/>
      <c r="G36" s="5"/>
      <c r="H36" s="41"/>
      <c r="J36" s="19"/>
      <c r="K36" s="43"/>
    </row>
    <row r="37" spans="1:11" ht="32.25" customHeight="1">
      <c r="A37" s="79"/>
      <c r="B37" s="81"/>
      <c r="C37" s="80"/>
      <c r="D37" s="30"/>
      <c r="G37" s="5"/>
      <c r="H37" s="78"/>
      <c r="J37" s="19"/>
      <c r="K37" s="38"/>
    </row>
    <row r="38" spans="1:11" ht="18" customHeight="1">
      <c r="A38" s="6"/>
      <c r="B38" s="28"/>
      <c r="D38" s="30"/>
      <c r="G38" s="5"/>
      <c r="H38" s="41"/>
      <c r="J38" s="19"/>
      <c r="K38" s="43"/>
    </row>
    <row r="39" spans="1:11" ht="18" customHeight="1">
      <c r="A39" s="31"/>
      <c r="B39" s="16"/>
      <c r="C39" s="16"/>
      <c r="D39" s="15"/>
      <c r="E39" s="16"/>
      <c r="F39" s="16"/>
      <c r="G39" s="17"/>
      <c r="H39" s="32"/>
      <c r="I39" s="16"/>
      <c r="J39" s="33"/>
      <c r="K39" s="39"/>
    </row>
    <row r="40" spans="1:11" ht="18" customHeight="1">
      <c r="A40" s="34">
        <f>SUM(A24:A39)</f>
        <v>0</v>
      </c>
      <c r="B40" s="87">
        <f>B24</f>
        <v>0</v>
      </c>
      <c r="C40" s="88"/>
      <c r="D40" s="20"/>
      <c r="E40" s="22"/>
      <c r="F40" s="21"/>
      <c r="G40" s="23"/>
      <c r="H40" s="35"/>
      <c r="I40" s="22"/>
      <c r="J40" s="24">
        <f>SUM(J23:J39)</f>
        <v>0</v>
      </c>
      <c r="K40" s="24">
        <f>SUM(K23:K39)</f>
        <v>0</v>
      </c>
    </row>
    <row r="41" spans="1:11" ht="18" customHeight="1">
      <c r="A41" s="48" t="str">
        <f>'INV1'!A43</f>
        <v>CONTAINER NO / SEAL NO:</v>
      </c>
      <c r="B41" s="44"/>
      <c r="C41" s="44"/>
      <c r="J41" s="25"/>
      <c r="K41" s="25"/>
    </row>
    <row r="42" spans="1:11" ht="18" customHeight="1">
      <c r="A42" s="73"/>
      <c r="C42" s="48"/>
      <c r="D42" s="9"/>
      <c r="E42" s="36"/>
      <c r="F42" s="9"/>
      <c r="G42" s="9"/>
      <c r="H42" s="47" t="str">
        <f>'INV1'!F44</f>
        <v>For and on behalf of</v>
      </c>
      <c r="I42" s="48"/>
      <c r="J42" s="48"/>
      <c r="K42" s="45"/>
    </row>
    <row r="43" spans="1:11" ht="18" customHeight="1">
      <c r="A43" s="45"/>
      <c r="H43" s="45" t="str">
        <f>'INV1'!F45</f>
        <v xml:space="preserve">NINGBO HAISHU BAIYI GARMENT ACCESSORY CO., LTD. </v>
      </c>
      <c r="I43" s="45"/>
      <c r="J43" s="45"/>
      <c r="K43" s="45"/>
    </row>
    <row r="44" spans="1:11" ht="18" customHeight="1">
      <c r="H44" s="45"/>
      <c r="I44" s="45"/>
      <c r="J44" s="45"/>
      <c r="K44" s="45"/>
    </row>
    <row r="45" spans="1:11" ht="18" customHeight="1">
      <c r="H45" s="45"/>
      <c r="I45" s="45"/>
      <c r="J45" s="45"/>
      <c r="K45" s="45"/>
    </row>
    <row r="46" spans="1:11" ht="18" customHeight="1">
      <c r="H46" s="45"/>
      <c r="I46" s="45"/>
      <c r="J46" s="45"/>
      <c r="K46" s="45"/>
    </row>
    <row r="47" spans="1:11" ht="18" customHeight="1">
      <c r="H47" s="45"/>
      <c r="I47" s="45"/>
      <c r="J47" s="45"/>
      <c r="K47" s="45"/>
    </row>
    <row r="48" spans="1:11" ht="18" customHeight="1">
      <c r="H48" s="46"/>
      <c r="I48" s="46"/>
      <c r="J48" s="46"/>
      <c r="K48" s="46"/>
    </row>
    <row r="49" spans="1:11" ht="18" customHeight="1">
      <c r="H49" s="45" t="str">
        <f>'INV1'!F51</f>
        <v>Authorized &amp; Signature</v>
      </c>
      <c r="I49" s="45"/>
      <c r="J49" s="45"/>
      <c r="K49" s="45"/>
    </row>
    <row r="50" spans="1:11" ht="18" customHeight="1">
      <c r="H50" s="45"/>
      <c r="I50" s="45"/>
      <c r="J50" s="45"/>
      <c r="K50" s="45"/>
    </row>
    <row r="57" spans="1:11" ht="18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8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8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</sheetData>
  <mergeCells count="11">
    <mergeCell ref="A1:K1"/>
    <mergeCell ref="A2:K2"/>
    <mergeCell ref="A3:K3"/>
    <mergeCell ref="A4:K4"/>
    <mergeCell ref="I10:J10"/>
    <mergeCell ref="A35:C36"/>
    <mergeCell ref="A16:B16"/>
    <mergeCell ref="A17:B17"/>
    <mergeCell ref="B40:C40"/>
    <mergeCell ref="A7:K7"/>
    <mergeCell ref="H20:I20"/>
  </mergeCells>
  <phoneticPr fontId="2" type="noConversion"/>
  <printOptions horizontalCentered="1"/>
  <pageMargins left="0" right="0" top="0.51181102362204722" bottom="0.51181102362204722" header="0.51181102362204722" footer="0.51181102362204722"/>
  <pageSetup paperSize="9" scale="5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12CE-E37F-411C-8E10-2342C1323E57}">
  <dimension ref="A1"/>
  <sheetViews>
    <sheetView workbookViewId="0">
      <selection activeCell="B24" sqref="B24"/>
    </sheetView>
  </sheetViews>
  <sheetFormatPr defaultRowHeight="12.7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INV1</vt:lpstr>
      <vt:lpstr>PKL1</vt:lpstr>
      <vt:lpstr>Sheet1</vt:lpstr>
      <vt:lpstr>'INV1'!Print_Area</vt:lpstr>
      <vt:lpstr>'PKL1'!Print_Area</vt:lpstr>
    </vt:vector>
  </TitlesOfParts>
  <Company>023 987711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 HENG COMPUTER</dc:creator>
  <cp:lastModifiedBy>duyao</cp:lastModifiedBy>
  <cp:lastPrinted>2024-11-27T09:40:22Z</cp:lastPrinted>
  <dcterms:created xsi:type="dcterms:W3CDTF">2006-11-06T02:31:50Z</dcterms:created>
  <dcterms:modified xsi:type="dcterms:W3CDTF">2026-09-14T07:53:01Z</dcterms:modified>
</cp:coreProperties>
</file>