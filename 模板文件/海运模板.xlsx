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talProgram\Invoice汇总\模板文件\"/>
    </mc:Choice>
  </mc:AlternateContent>
  <xr:revisionPtr revIDLastSave="0" documentId="13_ncr:1_{1E6246C4-BFD5-420D-ABB5-FB45FE1BE5BF}" xr6:coauthVersionLast="47" xr6:coauthVersionMax="47" xr10:uidLastSave="{00000000-0000-0000-0000-000000000000}"/>
  <bookViews>
    <workbookView xWindow="-120" yWindow="-120" windowWidth="29040" windowHeight="15720" xr2:uid="{22DBC5BD-14D3-40EF-AF68-B01C618CDC02}"/>
  </bookViews>
  <sheets>
    <sheet name="INV1" sheetId="5" r:id="rId1"/>
    <sheet name="PKL1" sheetId="6" r:id="rId2"/>
  </sheets>
  <definedNames>
    <definedName name="_xlnm.Print_Area" localSheetId="0">'INV1'!$A$1:$J$46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A42" i="6"/>
  <c r="E26" i="6"/>
  <c r="A41" i="6"/>
  <c r="A40" i="6"/>
  <c r="A38" i="6"/>
  <c r="K10" i="6"/>
  <c r="A4" i="6"/>
  <c r="E25" i="6"/>
  <c r="E24" i="6"/>
  <c r="A3" i="6"/>
  <c r="K38" i="6"/>
  <c r="H24" i="6"/>
  <c r="J24" i="6" s="1"/>
  <c r="J38" i="6" s="1"/>
  <c r="C15" i="6"/>
  <c r="J24" i="5"/>
  <c r="J37" i="5" s="1"/>
  <c r="A18" i="6"/>
  <c r="H18" i="6"/>
  <c r="B38" i="6"/>
  <c r="H47" i="6"/>
  <c r="H40" i="6"/>
  <c r="A39" i="6"/>
  <c r="C17" i="6"/>
  <c r="C16" i="6"/>
  <c r="A17" i="6"/>
  <c r="A16" i="6"/>
  <c r="F40" i="5"/>
  <c r="H41" i="6" s="1"/>
  <c r="K9" i="6"/>
  <c r="A2" i="6"/>
  <c r="A1" i="6"/>
  <c r="J9" i="6"/>
  <c r="C14" i="6"/>
  <c r="C11" i="6"/>
  <c r="C12" i="6"/>
  <c r="C13" i="6"/>
  <c r="C10" i="6"/>
  <c r="C9" i="6"/>
  <c r="A9" i="6"/>
</calcChain>
</file>

<file path=xl/sharedStrings.xml><?xml version="1.0" encoding="utf-8"?>
<sst xmlns="http://schemas.openxmlformats.org/spreadsheetml/2006/main" count="49" uniqueCount="45">
  <si>
    <t>Consignee :</t>
  </si>
  <si>
    <t>INVOICE</t>
  </si>
  <si>
    <t>Description of goods</t>
  </si>
  <si>
    <t>Amount</t>
  </si>
  <si>
    <t>Unit Price</t>
  </si>
  <si>
    <t>Quantity</t>
  </si>
  <si>
    <t>Total :</t>
  </si>
  <si>
    <t>PACKING LIST</t>
  </si>
  <si>
    <t>Gross Weight</t>
  </si>
  <si>
    <t>Net Weight</t>
  </si>
  <si>
    <t>(KGS)</t>
  </si>
  <si>
    <t>KGS</t>
  </si>
  <si>
    <t xml:space="preserve">Invoice No : </t>
    <phoneticPr fontId="2" type="noConversion"/>
  </si>
  <si>
    <t xml:space="preserve">Date : </t>
    <phoneticPr fontId="2" type="noConversion"/>
  </si>
  <si>
    <t>Marks &amp; Nos.</t>
    <phoneticPr fontId="2" type="noConversion"/>
  </si>
  <si>
    <t>N/M</t>
    <phoneticPr fontId="2" type="noConversion"/>
  </si>
  <si>
    <t>Ship mode:</t>
  </si>
  <si>
    <t>by Sea</t>
  </si>
  <si>
    <t>China</t>
  </si>
  <si>
    <t xml:space="preserve">Country of Origin: </t>
  </si>
  <si>
    <t>CIF SIHANOUKVILLE</t>
  </si>
  <si>
    <t>CONTAINER NO / SEAL NO:</t>
  </si>
  <si>
    <t>For and on behalf of</t>
  </si>
  <si>
    <t>Authorized &amp; Signature</t>
  </si>
  <si>
    <t>QTY</t>
  </si>
  <si>
    <t>USD</t>
  </si>
  <si>
    <t>UNIT</t>
  </si>
  <si>
    <t xml:space="preserve">   No of  </t>
  </si>
  <si>
    <t>Place of Discharge: SIHANOUKVILLE, CAMBODIA</t>
  </si>
  <si>
    <t>Packinglist No:</t>
  </si>
  <si>
    <t>VANCO INDUSTRIAL CO., LTD.</t>
  </si>
  <si>
    <t>NATIONAL ROAD NO.4, PHUM CHORK,</t>
  </si>
  <si>
    <t>KHUM BEIK CHAN, SROK ANGSNEURL,</t>
  </si>
  <si>
    <t>KANDAL PROVINCE, CAMBODIA</t>
  </si>
  <si>
    <t>TEL: 855-12921388 / 092648888</t>
  </si>
  <si>
    <t>EMAIL: camimp@eastexgarment.com</t>
    <phoneticPr fontId="2" type="noConversion"/>
  </si>
  <si>
    <t>VAT # L001-150000294</t>
  </si>
  <si>
    <t>BALES</t>
    <phoneticPr fontId="2" type="noConversion"/>
  </si>
  <si>
    <t>ZHEJIANG LEFEI TEXTILE CO.,LTD.</t>
  </si>
  <si>
    <t>ROOM1903,19TH FLOOR,FORTUNE BLD.,KEQIAO,SHAOXING,ZHEJIANG,CHINA</t>
  </si>
  <si>
    <t>TEL:0086-575-81189638 FAX:0086-575-81189633</t>
  </si>
  <si>
    <t>E-MAIL:LF3@LEFEITEX.COM</t>
  </si>
  <si>
    <t>Port of loading: NINGBO, CHINA</t>
    <phoneticPr fontId="2" type="noConversion"/>
  </si>
  <si>
    <t>REF:26LF0845-1,26LF0846-1</t>
    <phoneticPr fontId="2" type="noConversion"/>
  </si>
  <si>
    <t>REF: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</si>
</sst>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d/m/yyyy;@"/>
    <numFmt numFmtId="179" formatCode="0.0_);[Red]\(0.0\)"/>
    <numFmt numFmtId="180" formatCode="0.00_);[Red]\(0.00\)"/>
    <numFmt numFmtId="181" formatCode="0.00_ "/>
    <numFmt numFmtId="182" formatCode="[$USD]\ #,##0.00;[Red][$USD]\ #,##0.00"/>
  </numFmts>
  <fonts count="29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6"/>
      <name val="Calibri"/>
      <family val="2"/>
    </font>
    <font>
      <sz val="12"/>
      <name val="Calibri"/>
      <family val="2"/>
    </font>
    <font>
      <b/>
      <u/>
      <sz val="16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8"/>
      <name val="Calibri"/>
      <family val="2"/>
    </font>
    <font>
      <sz val="9"/>
      <color indexed="8"/>
      <name val="Verdana"/>
      <family val="2"/>
    </font>
    <font>
      <sz val="12"/>
      <name val="宋体"/>
      <family val="3"/>
      <charset val="134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宋体"/>
      <family val="3"/>
      <charset val="134"/>
    </font>
    <font>
      <u/>
      <sz val="10"/>
      <color theme="10"/>
      <name val="Arial"/>
      <family val="2"/>
    </font>
    <font>
      <sz val="11"/>
      <color indexed="8"/>
      <name val="宋体"/>
      <family val="3"/>
      <charset val="134"/>
      <scheme val="minor"/>
    </font>
    <font>
      <sz val="12"/>
      <color rgb="FF17365D"/>
      <name val="Cambria"/>
      <family val="1"/>
    </font>
    <font>
      <sz val="12"/>
      <color rgb="FF254061"/>
      <name val="Cambria"/>
      <family val="1"/>
    </font>
    <font>
      <sz val="12"/>
      <color rgb="FF0000CC"/>
      <name val="Calibri"/>
      <family val="2"/>
    </font>
    <font>
      <b/>
      <sz val="12"/>
      <color rgb="FF0000CC"/>
      <name val="Calibri"/>
      <family val="2"/>
    </font>
    <font>
      <b/>
      <u/>
      <sz val="12"/>
      <color rgb="FF0000C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7" fillId="0" borderId="0">
      <alignment horizontal="center" vertical="center"/>
    </xf>
    <xf numFmtId="0" fontId="18" fillId="2" borderId="0">
      <alignment horizontal="center" vertical="center"/>
    </xf>
    <xf numFmtId="0" fontId="19" fillId="2" borderId="0">
      <alignment horizontal="center" vertical="center"/>
    </xf>
    <xf numFmtId="0" fontId="14" fillId="0" borderId="0">
      <alignment horizontal="center" vertical="center"/>
    </xf>
    <xf numFmtId="0" fontId="13" fillId="0" borderId="0">
      <alignment horizontal="center" vertical="center"/>
    </xf>
    <xf numFmtId="0" fontId="18" fillId="2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1" fillId="0" borderId="0">
      <alignment horizontal="center" vertical="center"/>
    </xf>
    <xf numFmtId="0" fontId="18" fillId="2" borderId="0">
      <alignment horizontal="center" vertical="center"/>
    </xf>
    <xf numFmtId="0" fontId="18" fillId="2" borderId="0">
      <alignment horizontal="center" vertical="center"/>
    </xf>
    <xf numFmtId="0" fontId="12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2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0" fontId="3" fillId="0" borderId="0"/>
    <xf numFmtId="0" fontId="12" fillId="0" borderId="0"/>
    <xf numFmtId="0" fontId="15" fillId="0" borderId="0"/>
  </cellStyleXfs>
  <cellXfs count="115">
    <xf numFmtId="0" fontId="0" fillId="0" borderId="0" xfId="0"/>
    <xf numFmtId="0" fontId="5" fillId="0" borderId="0" xfId="0" applyFont="1"/>
    <xf numFmtId="0" fontId="5" fillId="0" borderId="1" xfId="0" applyFont="1" applyBorder="1"/>
    <xf numFmtId="0" fontId="7" fillId="0" borderId="0" xfId="0" applyFont="1"/>
    <xf numFmtId="176" fontId="5" fillId="0" borderId="0" xfId="20" applyFont="1" applyFill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49" fontId="5" fillId="0" borderId="3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0" fontId="8" fillId="0" borderId="0" xfId="0" applyFont="1" applyAlignment="1">
      <alignment horizontal="left"/>
    </xf>
    <xf numFmtId="0" fontId="5" fillId="0" borderId="0" xfId="0" quotePrefix="1" applyFont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8" fillId="0" borderId="14" xfId="0" applyFont="1" applyBorder="1"/>
    <xf numFmtId="0" fontId="5" fillId="0" borderId="15" xfId="0" applyFont="1" applyBorder="1"/>
    <xf numFmtId="4" fontId="5" fillId="0" borderId="16" xfId="0" applyNumberFormat="1" applyFont="1" applyBorder="1" applyAlignment="1">
      <alignment horizontal="center"/>
    </xf>
    <xf numFmtId="4" fontId="8" fillId="0" borderId="16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8" fillId="0" borderId="0" xfId="0" applyFont="1"/>
    <xf numFmtId="0" fontId="5" fillId="0" borderId="12" xfId="0" applyFont="1" applyBorder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right"/>
    </xf>
    <xf numFmtId="0" fontId="5" fillId="0" borderId="8" xfId="0" quotePrefix="1" applyFont="1" applyBorder="1"/>
    <xf numFmtId="0" fontId="5" fillId="0" borderId="9" xfId="0" quotePrefix="1" applyFont="1" applyBorder="1"/>
    <xf numFmtId="4" fontId="5" fillId="0" borderId="11" xfId="0" quotePrefix="1" applyNumberFormat="1" applyFont="1" applyBorder="1" applyAlignment="1">
      <alignment horizontal="center"/>
    </xf>
    <xf numFmtId="0" fontId="8" fillId="0" borderId="13" xfId="0" applyFont="1" applyBorder="1"/>
    <xf numFmtId="4" fontId="8" fillId="0" borderId="14" xfId="0" applyNumberFormat="1" applyFont="1" applyBorder="1"/>
    <xf numFmtId="4" fontId="8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78" fontId="5" fillId="0" borderId="0" xfId="0" applyNumberFormat="1" applyFont="1" applyAlignment="1">
      <alignment horizontal="left"/>
    </xf>
    <xf numFmtId="0" fontId="24" fillId="0" borderId="0" xfId="0" applyFont="1" applyAlignment="1">
      <alignment vertical="center"/>
    </xf>
    <xf numFmtId="179" fontId="5" fillId="0" borderId="12" xfId="0" applyNumberFormat="1" applyFont="1" applyBorder="1" applyAlignment="1">
      <alignment horizontal="center"/>
    </xf>
    <xf numFmtId="179" fontId="5" fillId="0" borderId="11" xfId="0" quotePrefix="1" applyNumberFormat="1" applyFont="1" applyBorder="1" applyAlignment="1">
      <alignment horizontal="center"/>
    </xf>
    <xf numFmtId="180" fontId="5" fillId="0" borderId="12" xfId="20" applyNumberFormat="1" applyFont="1" applyFill="1" applyBorder="1" applyAlignment="1">
      <alignment horizontal="center"/>
    </xf>
    <xf numFmtId="176" fontId="5" fillId="0" borderId="0" xfId="0" applyNumberFormat="1" applyFont="1"/>
    <xf numFmtId="14" fontId="5" fillId="0" borderId="0" xfId="0" applyNumberFormat="1" applyFont="1" applyAlignment="1">
      <alignment horizontal="right"/>
    </xf>
    <xf numFmtId="0" fontId="25" fillId="0" borderId="0" xfId="0" applyFont="1" applyAlignment="1">
      <alignment vertical="center"/>
    </xf>
    <xf numFmtId="0" fontId="7" fillId="3" borderId="0" xfId="0" applyFont="1" applyFill="1"/>
    <xf numFmtId="39" fontId="5" fillId="0" borderId="12" xfId="2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left"/>
    </xf>
    <xf numFmtId="178" fontId="11" fillId="3" borderId="0" xfId="0" applyNumberFormat="1" applyFont="1" applyFill="1" applyAlignment="1">
      <alignment horizontal="left"/>
    </xf>
    <xf numFmtId="181" fontId="5" fillId="0" borderId="0" xfId="0" applyNumberFormat="1" applyFont="1"/>
    <xf numFmtId="176" fontId="5" fillId="0" borderId="0" xfId="2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9" xfId="0" applyFont="1" applyBorder="1"/>
    <xf numFmtId="4" fontId="27" fillId="0" borderId="0" xfId="0" applyNumberFormat="1" applyFont="1" applyAlignment="1">
      <alignment horizontal="left"/>
    </xf>
    <xf numFmtId="0" fontId="27" fillId="0" borderId="0" xfId="0" applyFont="1" applyAlignment="1">
      <alignment horizontal="left"/>
    </xf>
    <xf numFmtId="182" fontId="5" fillId="0" borderId="2" xfId="18" applyNumberFormat="1" applyFont="1" applyBorder="1" applyAlignment="1">
      <alignment horizontal="center"/>
    </xf>
    <xf numFmtId="182" fontId="8" fillId="0" borderId="16" xfId="18" applyNumberFormat="1" applyFont="1" applyBorder="1" applyAlignment="1">
      <alignment horizontal="center"/>
    </xf>
    <xf numFmtId="177" fontId="5" fillId="0" borderId="12" xfId="18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8" fillId="0" borderId="2" xfId="0" applyFont="1" applyBorder="1"/>
    <xf numFmtId="177" fontId="8" fillId="0" borderId="12" xfId="18" applyFont="1" applyBorder="1" applyAlignment="1">
      <alignment horizontal="center"/>
    </xf>
    <xf numFmtId="182" fontId="8" fillId="0" borderId="2" xfId="18" applyNumberFormat="1" applyFont="1" applyBorder="1" applyAlignment="1">
      <alignment horizontal="center"/>
    </xf>
    <xf numFmtId="39" fontId="8" fillId="0" borderId="12" xfId="20" applyNumberFormat="1" applyFont="1" applyFill="1" applyBorder="1" applyAlignment="1">
      <alignment horizontal="center"/>
    </xf>
    <xf numFmtId="176" fontId="8" fillId="0" borderId="0" xfId="20" applyFont="1" applyFill="1"/>
    <xf numFmtId="176" fontId="8" fillId="0" borderId="0" xfId="0" applyNumberFormat="1" applyFont="1"/>
    <xf numFmtId="4" fontId="8" fillId="0" borderId="12" xfId="0" applyNumberFormat="1" applyFont="1" applyBorder="1" applyAlignment="1">
      <alignment horizontal="center"/>
    </xf>
    <xf numFmtId="0" fontId="22" fillId="0" borderId="0" xfId="17" applyAlignment="1">
      <alignment vertical="center"/>
    </xf>
    <xf numFmtId="0" fontId="5" fillId="3" borderId="0" xfId="0" applyFont="1" applyFill="1"/>
    <xf numFmtId="44" fontId="5" fillId="0" borderId="0" xfId="0" applyNumberFormat="1" applyFont="1"/>
    <xf numFmtId="49" fontId="8" fillId="0" borderId="3" xfId="0" applyNumberFormat="1" applyFont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49" fontId="8" fillId="0" borderId="3" xfId="0" applyNumberFormat="1" applyFont="1" applyBorder="1" applyAlignment="1">
      <alignment horizontal="left"/>
    </xf>
    <xf numFmtId="49" fontId="8" fillId="0" borderId="0" xfId="0" applyNumberFormat="1" applyFont="1" applyAlignment="1">
      <alignment vertical="top" wrapText="1"/>
    </xf>
    <xf numFmtId="0" fontId="8" fillId="0" borderId="3" xfId="0" applyFont="1" applyBorder="1"/>
    <xf numFmtId="0" fontId="10" fillId="0" borderId="0" xfId="0" applyFont="1"/>
    <xf numFmtId="0" fontId="5" fillId="0" borderId="8" xfId="0" applyFont="1" applyBorder="1"/>
    <xf numFmtId="0" fontId="0" fillId="0" borderId="10" xfId="0" applyBorder="1"/>
    <xf numFmtId="0" fontId="8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6" fillId="0" borderId="0" xfId="0" applyFont="1" applyAlignment="1">
      <alignment horizontal="center"/>
    </xf>
    <xf numFmtId="0" fontId="27" fillId="0" borderId="5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49" fontId="8" fillId="0" borderId="3" xfId="0" applyNumberFormat="1" applyFont="1" applyBorder="1" applyAlignment="1">
      <alignment horizontal="left" vertical="top" wrapText="1"/>
    </xf>
    <xf numFmtId="49" fontId="8" fillId="0" borderId="2" xfId="0" applyNumberFormat="1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22" fillId="0" borderId="0" xfId="17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2" fillId="0" borderId="0" xfId="17" applyAlignment="1">
      <alignment horizontal="center" wrapText="1"/>
    </xf>
    <xf numFmtId="0" fontId="5" fillId="0" borderId="0" xfId="0" quotePrefix="1" applyFont="1" applyAlignment="1">
      <alignment horizontal="left" vertical="top" wrapText="1"/>
    </xf>
    <xf numFmtId="0" fontId="8" fillId="0" borderId="0" xfId="0" quotePrefix="1" applyFont="1" applyAlignment="1">
      <alignment horizontal="left" vertical="top" wrapText="1"/>
    </xf>
    <xf numFmtId="0" fontId="27" fillId="0" borderId="0" xfId="0" applyFont="1"/>
    <xf numFmtId="0" fontId="5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25">
    <cellStyle name="S1" xfId="1" xr:uid="{185D429A-72F6-46A3-B502-FF5C368DAD72}"/>
    <cellStyle name="S10" xfId="2" xr:uid="{2669CDD8-D701-496A-9BFE-DB45EF4A228D}"/>
    <cellStyle name="S11" xfId="3" xr:uid="{EFA5FDA6-09A9-42BF-B418-9F953A13A492}"/>
    <cellStyle name="S2" xfId="4" xr:uid="{4211BBEE-6F35-4042-A440-890CEF742CD3}"/>
    <cellStyle name="S3" xfId="5" xr:uid="{384CE42E-AD12-426E-B911-37C7A26EF4A7}"/>
    <cellStyle name="S4" xfId="6" xr:uid="{4B8E593C-03F2-4E9B-B0E4-6AF57EFA0F6A}"/>
    <cellStyle name="S5" xfId="7" xr:uid="{68CB0615-991F-4270-9764-4E00514F70D1}"/>
    <cellStyle name="S6" xfId="8" xr:uid="{CA90DD23-6617-4E01-95A5-14B7BB754D89}"/>
    <cellStyle name="S7" xfId="9" xr:uid="{556F6F5E-33D6-4D26-9658-4736102131E3}"/>
    <cellStyle name="S8" xfId="10" xr:uid="{6E7BABCD-E6AD-4F1D-9E89-3A888E6A0B41}"/>
    <cellStyle name="S9" xfId="11" xr:uid="{045BD480-7CDB-476A-B265-D176635F6D1E}"/>
    <cellStyle name="常规" xfId="0" builtinId="0"/>
    <cellStyle name="常规 2" xfId="12" xr:uid="{EAE8D1F9-5D8F-4286-8F7A-7DD7ED13254D}"/>
    <cellStyle name="常规 2 2" xfId="13" xr:uid="{44531999-3636-4AC0-9C4A-8DFED3199F6F}"/>
    <cellStyle name="常规 3" xfId="14" xr:uid="{D82AE08A-3E1F-4AB3-B7EA-C67D6245A037}"/>
    <cellStyle name="常规 4" xfId="15" xr:uid="{69306608-A283-4E53-9159-307A6E6D40EB}"/>
    <cellStyle name="常规 5" xfId="16" xr:uid="{7BD5CBB4-996E-4229-B8DF-40864C37D115}"/>
    <cellStyle name="超链接" xfId="17" builtinId="8"/>
    <cellStyle name="货币" xfId="18" builtinId="4"/>
    <cellStyle name="千分位 2" xfId="19" xr:uid="{7BC4896C-9FDE-4AC5-B36B-AA6D14929743}"/>
    <cellStyle name="千位分隔" xfId="20" builtinId="3"/>
    <cellStyle name="千位分隔[0] 2" xfId="21" xr:uid="{98A5D4FC-8E21-4D69-8F0E-797AAF7FB69D}"/>
    <cellStyle name="一般 2" xfId="22" xr:uid="{2D4A9FC9-09E0-4FDB-A2E6-C603D9C63532}"/>
    <cellStyle name="一般 4" xfId="23" xr:uid="{34D0D67D-7C35-4EE5-8AE0-9D44A8B63F77}"/>
    <cellStyle name="一般 4 2" xfId="24" xr:uid="{19054769-5857-4AA6-A1AB-0180FE6D03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PING@HONGJITEXTILE.COM" TargetMode="External"/><Relationship Id="rId2" Type="http://schemas.openxmlformats.org/officeDocument/2006/relationships/hyperlink" Target="TEL:0086-575-81189638%20FAX:0086-575-81189633" TargetMode="External"/><Relationship Id="rId1" Type="http://schemas.openxmlformats.org/officeDocument/2006/relationships/hyperlink" Target="mailto:IMP.EXP@EASTEXGARMENT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6B4B-7C14-4167-84EF-3DFEA807667A}">
  <sheetPr>
    <pageSetUpPr fitToPage="1"/>
  </sheetPr>
  <dimension ref="A1:M178"/>
  <sheetViews>
    <sheetView tabSelected="1" view="pageBreakPreview" topLeftCell="A16" zoomScaleNormal="100" zoomScaleSheetLayoutView="100" workbookViewId="0">
      <selection activeCell="L33" sqref="L33"/>
    </sheetView>
  </sheetViews>
  <sheetFormatPr defaultRowHeight="18" customHeight="1"/>
  <cols>
    <col min="1" max="1" width="27" style="1" customWidth="1"/>
    <col min="2" max="2" width="20.42578125" style="1" customWidth="1"/>
    <col min="3" max="3" width="4.42578125" style="1" customWidth="1"/>
    <col min="4" max="4" width="7.85546875" style="1" customWidth="1"/>
    <col min="5" max="5" width="53.140625" style="1" customWidth="1"/>
    <col min="6" max="6" width="23" style="1" customWidth="1"/>
    <col min="7" max="7" width="14" style="1" bestFit="1" customWidth="1"/>
    <col min="8" max="8" width="9.5703125" style="1" customWidth="1"/>
    <col min="9" max="9" width="16.28515625" style="1" customWidth="1"/>
    <col min="10" max="10" width="21.7109375" style="1" customWidth="1"/>
    <col min="11" max="16384" width="9.140625" style="1"/>
  </cols>
  <sheetData>
    <row r="1" spans="1:13" ht="24.95" customHeight="1">
      <c r="A1" s="98" t="s">
        <v>38</v>
      </c>
      <c r="B1" s="98"/>
      <c r="C1" s="98"/>
      <c r="D1" s="98"/>
      <c r="E1" s="98"/>
      <c r="F1" s="98"/>
      <c r="G1" s="98"/>
      <c r="H1" s="98"/>
      <c r="I1" s="98"/>
      <c r="J1" s="98"/>
      <c r="K1" s="84"/>
    </row>
    <row r="2" spans="1:13" ht="18" customHeight="1">
      <c r="A2" s="101" t="s">
        <v>39</v>
      </c>
      <c r="B2" s="100"/>
      <c r="C2" s="100"/>
      <c r="D2" s="100"/>
      <c r="E2" s="100"/>
      <c r="F2" s="100"/>
      <c r="G2" s="100"/>
      <c r="H2" s="100"/>
      <c r="I2" s="100"/>
      <c r="J2" s="100"/>
      <c r="K2" s="3"/>
    </row>
    <row r="3" spans="1:13" ht="18" customHeight="1">
      <c r="A3" s="99" t="s">
        <v>40</v>
      </c>
      <c r="B3" s="100"/>
      <c r="C3" s="100"/>
      <c r="D3" s="100"/>
      <c r="E3" s="100"/>
      <c r="F3" s="100"/>
      <c r="G3" s="100"/>
      <c r="H3" s="100"/>
      <c r="I3" s="100"/>
      <c r="J3" s="100"/>
      <c r="K3" s="3"/>
    </row>
    <row r="4" spans="1:13" ht="18" customHeight="1">
      <c r="A4" s="102" t="s">
        <v>41</v>
      </c>
      <c r="B4" s="102"/>
      <c r="C4" s="102"/>
      <c r="D4" s="102"/>
      <c r="E4" s="102"/>
      <c r="F4" s="102"/>
      <c r="G4" s="102"/>
      <c r="H4" s="102"/>
      <c r="I4" s="102"/>
      <c r="J4" s="102"/>
      <c r="K4" s="3"/>
    </row>
    <row r="5" spans="1:13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3" ht="9.9499999999999993" customHeight="1"/>
    <row r="7" spans="1:13" ht="24.95" customHeight="1">
      <c r="A7" s="90" t="s">
        <v>1</v>
      </c>
      <c r="B7" s="90"/>
      <c r="C7" s="90"/>
      <c r="D7" s="90"/>
      <c r="E7" s="90"/>
      <c r="F7" s="90"/>
      <c r="G7" s="90"/>
      <c r="H7" s="90"/>
      <c r="I7" s="90"/>
      <c r="J7" s="90"/>
    </row>
    <row r="8" spans="1:13" ht="9.9499999999999993" customHeight="1"/>
    <row r="9" spans="1:13" ht="18" customHeight="1">
      <c r="A9" s="1" t="s">
        <v>0</v>
      </c>
      <c r="B9" s="48" t="s">
        <v>30</v>
      </c>
      <c r="I9" s="40" t="s">
        <v>13</v>
      </c>
      <c r="J9" s="52"/>
    </row>
    <row r="10" spans="1:13" ht="18" customHeight="1">
      <c r="B10" s="48" t="s">
        <v>31</v>
      </c>
      <c r="I10" s="8" t="s">
        <v>12</v>
      </c>
      <c r="J10" s="103"/>
    </row>
    <row r="11" spans="1:13" ht="18" customHeight="1">
      <c r="B11" s="48" t="s">
        <v>32</v>
      </c>
      <c r="I11" s="11"/>
      <c r="J11" s="104"/>
    </row>
    <row r="12" spans="1:13" ht="18" customHeight="1">
      <c r="B12" s="48" t="s">
        <v>33</v>
      </c>
      <c r="I12" s="11"/>
      <c r="J12" s="104"/>
    </row>
    <row r="13" spans="1:13" ht="18" customHeight="1">
      <c r="B13" s="48" t="s">
        <v>34</v>
      </c>
      <c r="I13" s="11"/>
      <c r="J13" s="104"/>
    </row>
    <row r="14" spans="1:13" ht="18" customHeight="1">
      <c r="B14" s="76" t="s">
        <v>35</v>
      </c>
      <c r="I14" s="11"/>
      <c r="J14" s="104"/>
    </row>
    <row r="15" spans="1:13" ht="18" customHeight="1">
      <c r="B15" s="42" t="s">
        <v>36</v>
      </c>
      <c r="I15" s="11"/>
      <c r="J15" s="104"/>
      <c r="M15"/>
    </row>
    <row r="16" spans="1:13" ht="18" customHeight="1">
      <c r="A16" s="56" t="s">
        <v>19</v>
      </c>
      <c r="B16" s="57" t="s">
        <v>18</v>
      </c>
      <c r="I16" s="11"/>
    </row>
    <row r="17" spans="1:10" ht="20.100000000000001" customHeight="1">
      <c r="A17" s="56" t="s">
        <v>16</v>
      </c>
      <c r="B17" s="56" t="s">
        <v>17</v>
      </c>
    </row>
    <row r="18" spans="1:10" ht="18" customHeight="1">
      <c r="A18" s="49" t="s">
        <v>42</v>
      </c>
      <c r="B18" s="49"/>
      <c r="C18" s="49"/>
      <c r="D18" s="49"/>
      <c r="E18" s="49"/>
      <c r="F18" s="3"/>
      <c r="G18" s="3" t="s">
        <v>28</v>
      </c>
      <c r="H18" s="3"/>
      <c r="I18" s="3"/>
      <c r="J18" s="3"/>
    </row>
    <row r="19" spans="1:10" ht="9.9499999999999993" customHeight="1"/>
    <row r="20" spans="1:10" ht="18" customHeight="1">
      <c r="A20" s="12" t="s">
        <v>14</v>
      </c>
      <c r="B20" s="14"/>
      <c r="C20" s="12"/>
      <c r="D20" s="13" t="s">
        <v>2</v>
      </c>
      <c r="E20" s="13"/>
      <c r="F20" s="14"/>
      <c r="G20" s="91" t="s">
        <v>24</v>
      </c>
      <c r="H20" s="91"/>
      <c r="I20" s="64" t="s">
        <v>4</v>
      </c>
      <c r="J20" s="65" t="s">
        <v>3</v>
      </c>
    </row>
    <row r="21" spans="1:10" ht="18" customHeight="1">
      <c r="A21" s="16"/>
      <c r="B21" s="18"/>
      <c r="C21" s="16"/>
      <c r="D21" s="17"/>
      <c r="E21" s="17"/>
      <c r="F21" s="18"/>
      <c r="G21" s="94" t="s">
        <v>11</v>
      </c>
      <c r="H21" s="95"/>
      <c r="I21" s="66" t="s">
        <v>25</v>
      </c>
      <c r="J21" s="67" t="s">
        <v>25</v>
      </c>
    </row>
    <row r="22" spans="1:10" ht="18" customHeight="1">
      <c r="A22" s="12"/>
      <c r="B22" s="5"/>
      <c r="C22" s="6"/>
      <c r="F22" s="5"/>
      <c r="I22" s="92" t="s">
        <v>20</v>
      </c>
      <c r="J22" s="93"/>
    </row>
    <row r="23" spans="1:10" ht="18" customHeight="1">
      <c r="A23" s="6"/>
      <c r="B23" s="5"/>
      <c r="C23" s="6"/>
      <c r="F23" s="5"/>
      <c r="G23" s="4"/>
      <c r="I23" s="20"/>
      <c r="J23" s="21"/>
    </row>
    <row r="24" spans="1:10" ht="18" customHeight="1">
      <c r="A24" s="51" t="s">
        <v>15</v>
      </c>
      <c r="B24" s="5"/>
      <c r="C24" s="6"/>
      <c r="D24" s="29"/>
      <c r="E24" s="29"/>
      <c r="F24" s="69"/>
      <c r="G24" s="73"/>
      <c r="H24" s="29"/>
      <c r="I24" s="70"/>
      <c r="J24" s="71">
        <f>G24*I24</f>
        <v>0</v>
      </c>
    </row>
    <row r="25" spans="1:10" ht="18" customHeight="1">
      <c r="A25" s="7"/>
      <c r="B25" s="5"/>
      <c r="F25" s="5"/>
      <c r="G25" s="54"/>
      <c r="I25" s="63"/>
      <c r="J25" s="61"/>
    </row>
    <row r="26" spans="1:10" ht="18" customHeight="1">
      <c r="A26" s="7"/>
      <c r="B26" s="5"/>
      <c r="F26" s="5"/>
      <c r="G26" s="54"/>
      <c r="I26" s="20"/>
      <c r="J26" s="61"/>
    </row>
    <row r="27" spans="1:10" ht="18" customHeight="1">
      <c r="A27" s="7"/>
      <c r="B27" s="5"/>
      <c r="F27" s="5"/>
      <c r="G27" s="54"/>
      <c r="I27" s="20"/>
      <c r="J27" s="61"/>
    </row>
    <row r="28" spans="1:10" ht="18" customHeight="1">
      <c r="A28" s="7"/>
      <c r="B28" s="5"/>
      <c r="F28" s="5"/>
      <c r="G28" s="78"/>
      <c r="I28" s="20"/>
      <c r="J28" s="61"/>
    </row>
    <row r="29" spans="1:10" ht="18" customHeight="1">
      <c r="A29" s="79"/>
      <c r="B29" s="80"/>
      <c r="F29" s="5"/>
      <c r="G29" s="54"/>
      <c r="I29" s="20"/>
      <c r="J29" s="61"/>
    </row>
    <row r="30" spans="1:10" ht="18" customHeight="1">
      <c r="A30" s="96" t="s">
        <v>44</v>
      </c>
      <c r="B30" s="97"/>
      <c r="F30" s="5"/>
      <c r="G30" s="73"/>
      <c r="H30" s="29"/>
      <c r="I30" s="70"/>
      <c r="J30" s="71"/>
    </row>
    <row r="31" spans="1:10" ht="18" customHeight="1">
      <c r="A31" s="96"/>
      <c r="B31" s="97"/>
      <c r="E31" s="29"/>
      <c r="F31" s="69"/>
      <c r="G31" s="73"/>
      <c r="H31" s="29"/>
      <c r="I31" s="70"/>
      <c r="J31" s="71"/>
    </row>
    <row r="32" spans="1:10" ht="18" customHeight="1">
      <c r="A32" s="81"/>
      <c r="B32" s="5"/>
      <c r="C32" s="6"/>
      <c r="F32" s="5"/>
      <c r="G32" s="54"/>
      <c r="I32" s="63"/>
      <c r="J32" s="61"/>
    </row>
    <row r="33" spans="1:10" ht="18" customHeight="1">
      <c r="A33" s="81"/>
      <c r="B33" s="5"/>
      <c r="C33" s="6"/>
      <c r="F33" s="5"/>
      <c r="G33" s="53"/>
      <c r="I33" s="20"/>
      <c r="J33" s="61"/>
    </row>
    <row r="34" spans="1:10" ht="18" customHeight="1">
      <c r="A34" s="7"/>
      <c r="B34" s="5"/>
      <c r="C34" s="6"/>
      <c r="F34" s="5"/>
      <c r="G34" s="4"/>
      <c r="I34" s="20"/>
      <c r="J34" s="61"/>
    </row>
    <row r="35" spans="1:10" ht="18" customHeight="1">
      <c r="A35" s="7"/>
      <c r="B35" s="5"/>
      <c r="C35" s="6"/>
      <c r="F35" s="5"/>
      <c r="G35" s="53"/>
      <c r="I35" s="20"/>
      <c r="J35" s="61"/>
    </row>
    <row r="36" spans="1:10" ht="18" customHeight="1">
      <c r="A36" s="16"/>
      <c r="B36" s="18"/>
      <c r="C36" s="6"/>
      <c r="D36" s="29"/>
      <c r="F36" s="5"/>
      <c r="G36" s="4"/>
      <c r="I36" s="20"/>
      <c r="J36" s="61"/>
    </row>
    <row r="37" spans="1:10" ht="18" customHeight="1">
      <c r="A37" s="85"/>
      <c r="B37" s="86"/>
      <c r="C37" s="87" t="s">
        <v>6</v>
      </c>
      <c r="D37" s="88"/>
      <c r="E37" s="88"/>
      <c r="F37" s="89"/>
      <c r="G37" s="23"/>
      <c r="H37" s="23"/>
      <c r="I37" s="26"/>
      <c r="J37" s="62">
        <f>ROUND(SUM(J23:J36),2)</f>
        <v>0</v>
      </c>
    </row>
    <row r="38" spans="1:10" ht="18.75" customHeight="1">
      <c r="A38" s="56" t="s">
        <v>21</v>
      </c>
      <c r="B38" s="29"/>
      <c r="C38" s="29"/>
      <c r="D38" s="29"/>
      <c r="E38" s="29"/>
      <c r="F38" s="29"/>
      <c r="I38" s="28"/>
      <c r="J38" s="28"/>
    </row>
    <row r="39" spans="1:10" ht="18" customHeight="1">
      <c r="A39" s="56"/>
      <c r="B39" s="29"/>
      <c r="C39" s="29"/>
      <c r="D39" s="29"/>
      <c r="E39" s="29"/>
      <c r="F39" s="56" t="s">
        <v>22</v>
      </c>
      <c r="G39" s="29"/>
      <c r="H39" s="29"/>
      <c r="I39" s="29"/>
      <c r="J39" s="29"/>
    </row>
    <row r="40" spans="1:10" ht="18" customHeight="1">
      <c r="A40" s="56"/>
      <c r="F40" s="56" t="str">
        <f>A1</f>
        <v>ZHEJIANG LEFEI TEXTILE CO.,LTD.</v>
      </c>
      <c r="G40" s="29"/>
      <c r="H40" s="29"/>
      <c r="I40" s="29"/>
      <c r="J40" s="29"/>
    </row>
    <row r="41" spans="1:10" ht="18" customHeight="1">
      <c r="A41" s="56"/>
    </row>
    <row r="42" spans="1:10" ht="18" customHeight="1">
      <c r="A42" s="56"/>
    </row>
    <row r="43" spans="1:10" ht="18" customHeight="1">
      <c r="A43" s="56"/>
    </row>
    <row r="44" spans="1:10" ht="18" customHeight="1">
      <c r="A44" s="56"/>
    </row>
    <row r="45" spans="1:10" ht="18" customHeight="1">
      <c r="A45" s="56"/>
      <c r="F45" s="58"/>
      <c r="G45" s="58"/>
      <c r="H45" s="58"/>
    </row>
    <row r="46" spans="1:10" ht="18" customHeight="1">
      <c r="F46" s="56" t="s">
        <v>23</v>
      </c>
      <c r="G46" s="56"/>
      <c r="H46" s="56"/>
    </row>
    <row r="109" spans="1:10" ht="18" customHeight="1">
      <c r="A109" s="3"/>
      <c r="B109" s="3"/>
      <c r="C109" s="3"/>
      <c r="D109" s="3"/>
      <c r="E109" s="3"/>
      <c r="F109" s="3"/>
    </row>
    <row r="110" spans="1:10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8" customHeight="1">
      <c r="G178" s="3"/>
      <c r="H178" s="3"/>
      <c r="I178" s="3"/>
      <c r="J178" s="3"/>
    </row>
  </sheetData>
  <mergeCells count="12">
    <mergeCell ref="A1:J1"/>
    <mergeCell ref="A3:J3"/>
    <mergeCell ref="A2:J2"/>
    <mergeCell ref="A4:J4"/>
    <mergeCell ref="J10:J15"/>
    <mergeCell ref="A37:B37"/>
    <mergeCell ref="C37:F37"/>
    <mergeCell ref="A7:J7"/>
    <mergeCell ref="G20:H20"/>
    <mergeCell ref="I22:J22"/>
    <mergeCell ref="G21:H21"/>
    <mergeCell ref="A30:B31"/>
  </mergeCells>
  <phoneticPr fontId="2" type="noConversion"/>
  <hyperlinks>
    <hyperlink ref="B14" r:id="rId1" display="mailto:IMP.EXP@EASTEXGARMENT.COM" xr:uid="{6F84E9A3-96E0-4E4D-A055-430371A21688}"/>
    <hyperlink ref="A3" r:id="rId2" xr:uid="{74BFBD1A-6966-4719-B74E-CB7526B647F1}"/>
    <hyperlink ref="A4" r:id="rId3" display="RUPING@HONGJITEXTILE.COM" xr:uid="{ABED25DC-1617-4F52-AD82-B3F99D799638}"/>
  </hyperlinks>
  <printOptions horizontalCentered="1"/>
  <pageMargins left="0" right="0" top="0.51181102362204722" bottom="0.51181102362204722" header="0.51181102362204722" footer="0.51181102362204722"/>
  <pageSetup paperSize="9" scale="54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AD57-C82C-40A4-BA18-2469E55AE0C2}">
  <sheetPr>
    <pageSetUpPr fitToPage="1"/>
  </sheetPr>
  <dimension ref="A1:L179"/>
  <sheetViews>
    <sheetView view="pageBreakPreview" topLeftCell="A16" zoomScaleNormal="100" zoomScaleSheetLayoutView="100" workbookViewId="0">
      <selection activeCell="H24" sqref="H24"/>
    </sheetView>
  </sheetViews>
  <sheetFormatPr defaultRowHeight="18" customHeight="1"/>
  <cols>
    <col min="1" max="1" width="24.5703125" style="1" customWidth="1"/>
    <col min="2" max="2" width="8.5703125" style="1" customWidth="1"/>
    <col min="3" max="3" width="9.85546875" style="1" customWidth="1"/>
    <col min="4" max="4" width="6.42578125" style="1" customWidth="1"/>
    <col min="5" max="5" width="10.85546875" style="1" customWidth="1"/>
    <col min="6" max="6" width="19.140625" style="1" customWidth="1"/>
    <col min="7" max="7" width="31.85546875" style="1" customWidth="1"/>
    <col min="8" max="8" width="13.5703125" style="1" customWidth="1"/>
    <col min="9" max="9" width="8" style="1" customWidth="1"/>
    <col min="10" max="10" width="20.42578125" style="1" customWidth="1"/>
    <col min="11" max="11" width="23.140625" style="1" customWidth="1"/>
    <col min="12" max="12" width="9.140625" style="1"/>
    <col min="13" max="13" width="10" style="1" customWidth="1"/>
    <col min="14" max="14" width="9.5703125" style="1" bestFit="1" customWidth="1"/>
    <col min="15" max="16384" width="9.140625" style="1"/>
  </cols>
  <sheetData>
    <row r="1" spans="1:11" ht="24.95" customHeight="1">
      <c r="A1" s="98" t="str">
        <f>'INV1'!A1</f>
        <v>ZHEJIANG LEFEI TEXTILE CO.,LTD.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8" customHeight="1">
      <c r="A2" s="100" t="str">
        <f>'INV1'!A2</f>
        <v>ROOM1903,19TH FLOOR,FORTUNE BLD.,KEQIAO,SHAOXING,ZHEJIANG,CHINA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spans="1:11" ht="18" customHeight="1">
      <c r="A3" s="100" t="str">
        <f>'INV1'!A3</f>
        <v>TEL:0086-575-81189638 FAX:0086-575-81189633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 ht="18" customHeight="1">
      <c r="A4" s="100" t="str">
        <f>'INV1'!A4</f>
        <v>E-MAIL:LF3@LEFEITEX.COM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9.9499999999999993" customHeight="1"/>
    <row r="7" spans="1:11" ht="24.95" customHeight="1">
      <c r="A7" s="114" t="s">
        <v>7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</row>
    <row r="8" spans="1:11" ht="9.9499999999999993" customHeight="1"/>
    <row r="9" spans="1:11" ht="18" customHeight="1">
      <c r="A9" s="1" t="str">
        <f>'INV1'!A9</f>
        <v>Consignee :</v>
      </c>
      <c r="C9" s="1" t="str">
        <f>'INV1'!B9</f>
        <v>VANCO INDUSTRIAL CO., LTD.</v>
      </c>
      <c r="J9" s="47" t="str">
        <f>'INV1'!I9</f>
        <v xml:space="preserve">Date : </v>
      </c>
      <c r="K9" s="41">
        <f>'INV1'!J9</f>
        <v>0</v>
      </c>
    </row>
    <row r="10" spans="1:11" ht="18" customHeight="1">
      <c r="C10" s="1" t="str">
        <f>'INV1'!B10</f>
        <v>NATIONAL ROAD NO.4, PHUM CHORK,</v>
      </c>
      <c r="I10" s="113" t="s">
        <v>29</v>
      </c>
      <c r="J10" s="113"/>
      <c r="K10" s="106">
        <f>'INV1'!J10</f>
        <v>0</v>
      </c>
    </row>
    <row r="11" spans="1:11" ht="18" customHeight="1">
      <c r="C11" s="1" t="str">
        <f>'INV1'!B11</f>
        <v>KHUM BEIK CHAN, SROK ANGSNEURL,</v>
      </c>
      <c r="K11" s="106"/>
    </row>
    <row r="12" spans="1:11" ht="18" customHeight="1">
      <c r="C12" s="1" t="str">
        <f>'INV1'!B12</f>
        <v>KANDAL PROVINCE, CAMBODIA</v>
      </c>
      <c r="J12" s="11"/>
      <c r="K12" s="106"/>
    </row>
    <row r="13" spans="1:11" ht="18" customHeight="1">
      <c r="C13" s="1" t="str">
        <f>'INV1'!B13</f>
        <v>TEL: 855-12921388 / 092648888</v>
      </c>
      <c r="J13" s="11"/>
      <c r="K13" s="106"/>
    </row>
    <row r="14" spans="1:11" ht="18" customHeight="1">
      <c r="C14" s="1" t="str">
        <f>'INV1'!B14</f>
        <v>EMAIL: camimp@eastexgarment.com</v>
      </c>
      <c r="J14" s="11"/>
      <c r="K14" s="106"/>
    </row>
    <row r="15" spans="1:11" ht="18" customHeight="1">
      <c r="C15" s="1" t="str">
        <f>'INV1'!B15</f>
        <v>VAT # L001-150000294</v>
      </c>
      <c r="I15" s="11"/>
      <c r="K15" s="106"/>
    </row>
    <row r="16" spans="1:11" ht="18" customHeight="1">
      <c r="A16" s="105" t="str">
        <f>'INV1'!A16</f>
        <v xml:space="preserve">Country of Origin: </v>
      </c>
      <c r="B16" s="105"/>
      <c r="C16" s="56" t="str">
        <f>'INV1'!B16</f>
        <v>China</v>
      </c>
      <c r="I16" s="11"/>
    </row>
    <row r="17" spans="1:12" ht="20.100000000000001" customHeight="1">
      <c r="A17" s="105" t="str">
        <f>'INV1'!A17</f>
        <v>Ship mode:</v>
      </c>
      <c r="B17" s="105"/>
      <c r="C17" s="56" t="str">
        <f>'INV1'!B17</f>
        <v>by Sea</v>
      </c>
    </row>
    <row r="18" spans="1:12" ht="18" customHeight="1">
      <c r="A18" s="77" t="str">
        <f>'INV1'!A18</f>
        <v>Port of loading: NINGBO, CHINA</v>
      </c>
      <c r="B18" s="77"/>
      <c r="C18" s="77"/>
      <c r="D18" s="77"/>
      <c r="H18" s="1" t="str">
        <f>'INV1'!G18</f>
        <v>Place of Discharge: SIHANOUKVILLE, CAMBODIA</v>
      </c>
    </row>
    <row r="19" spans="1:12" ht="9.9499999999999993" customHeight="1"/>
    <row r="20" spans="1:12" ht="18" customHeight="1">
      <c r="A20" s="68" t="s">
        <v>27</v>
      </c>
      <c r="B20" s="13" t="s">
        <v>26</v>
      </c>
      <c r="C20" s="13"/>
      <c r="D20" s="12"/>
      <c r="E20" s="13" t="s">
        <v>2</v>
      </c>
      <c r="F20" s="13"/>
      <c r="G20" s="14"/>
      <c r="H20" s="112" t="s">
        <v>5</v>
      </c>
      <c r="I20" s="112"/>
      <c r="J20" s="15" t="s">
        <v>9</v>
      </c>
      <c r="K20" s="15" t="s">
        <v>8</v>
      </c>
    </row>
    <row r="21" spans="1:12" ht="18" customHeight="1">
      <c r="A21" s="16"/>
      <c r="B21" s="17"/>
      <c r="C21" s="17"/>
      <c r="D21" s="16"/>
      <c r="E21" s="17"/>
      <c r="F21" s="17"/>
      <c r="G21" s="18"/>
      <c r="H21" s="17"/>
      <c r="I21" s="17"/>
      <c r="J21" s="19" t="s">
        <v>10</v>
      </c>
      <c r="K21" s="19" t="s">
        <v>10</v>
      </c>
    </row>
    <row r="22" spans="1:12" ht="18" customHeight="1">
      <c r="A22" s="6"/>
      <c r="D22" s="6"/>
      <c r="G22" s="5"/>
      <c r="J22" s="30"/>
      <c r="K22" s="30"/>
    </row>
    <row r="23" spans="1:12" ht="18" customHeight="1">
      <c r="A23" s="6"/>
      <c r="B23" s="31"/>
      <c r="C23" s="32"/>
      <c r="D23" s="6"/>
      <c r="G23" s="5"/>
      <c r="H23" s="4"/>
      <c r="J23" s="20"/>
      <c r="K23" s="20"/>
      <c r="L23" s="9"/>
    </row>
    <row r="24" spans="1:12" ht="18" customHeight="1">
      <c r="A24" s="6">
        <v>850</v>
      </c>
      <c r="B24" s="31" t="s">
        <v>37</v>
      </c>
      <c r="D24" s="33"/>
      <c r="E24" s="29">
        <f>'INV1'!D24</f>
        <v>0</v>
      </c>
      <c r="F24" s="29"/>
      <c r="G24" s="69"/>
      <c r="H24" s="74">
        <f>'INV1'!G24</f>
        <v>0</v>
      </c>
      <c r="I24" s="29" t="s">
        <v>11</v>
      </c>
      <c r="J24" s="75">
        <f>H24</f>
        <v>0</v>
      </c>
      <c r="K24" s="72">
        <v>20930.2</v>
      </c>
    </row>
    <row r="25" spans="1:12" ht="18" customHeight="1">
      <c r="A25" s="6"/>
      <c r="B25" s="31"/>
      <c r="D25" s="33"/>
      <c r="E25" s="1">
        <f>'INV1'!D25</f>
        <v>0</v>
      </c>
      <c r="G25" s="5"/>
      <c r="H25" s="46"/>
      <c r="J25" s="20"/>
      <c r="K25" s="50"/>
    </row>
    <row r="26" spans="1:12" ht="18" customHeight="1">
      <c r="A26" s="6"/>
      <c r="B26" s="31"/>
      <c r="D26" s="33"/>
      <c r="E26" s="1">
        <f>'INV1'!D26</f>
        <v>0</v>
      </c>
      <c r="G26" s="5"/>
      <c r="H26" s="46"/>
      <c r="J26" s="20"/>
      <c r="K26" s="50"/>
    </row>
    <row r="27" spans="1:12" ht="18" customHeight="1">
      <c r="A27" s="6"/>
      <c r="B27" s="31"/>
      <c r="D27" s="33"/>
      <c r="E27" s="1">
        <f>'INV1'!D27</f>
        <v>0</v>
      </c>
      <c r="G27" s="5"/>
      <c r="H27" s="46"/>
      <c r="J27" s="20"/>
      <c r="K27" s="50"/>
    </row>
    <row r="28" spans="1:12" ht="18" customHeight="1">
      <c r="A28" s="6"/>
      <c r="B28" s="31"/>
      <c r="D28" s="33"/>
      <c r="E28" s="1">
        <f>'INV1'!D28</f>
        <v>0</v>
      </c>
      <c r="G28" s="5"/>
      <c r="H28" s="46"/>
      <c r="J28" s="20"/>
      <c r="K28" s="50"/>
    </row>
    <row r="29" spans="1:12" ht="17.25" customHeight="1">
      <c r="A29" s="79"/>
      <c r="B29" s="82"/>
      <c r="C29" s="80"/>
      <c r="D29" s="33"/>
      <c r="E29" s="1">
        <f>'INV1'!D29</f>
        <v>0</v>
      </c>
      <c r="G29" s="5"/>
      <c r="H29" s="46"/>
      <c r="J29" s="20"/>
      <c r="K29" s="50"/>
    </row>
    <row r="30" spans="1:12" ht="17.25" customHeight="1">
      <c r="A30" s="6"/>
      <c r="B30" s="31"/>
      <c r="C30" s="80"/>
      <c r="D30" s="33"/>
      <c r="E30" s="1">
        <f>'INV1'!D30</f>
        <v>0</v>
      </c>
      <c r="G30" s="5"/>
      <c r="H30" s="74"/>
      <c r="I30" s="29"/>
      <c r="J30" s="75"/>
      <c r="K30" s="72"/>
    </row>
    <row r="31" spans="1:12" ht="17.25" customHeight="1">
      <c r="A31" s="79"/>
      <c r="B31" s="82"/>
      <c r="C31" s="80"/>
      <c r="D31" s="33"/>
      <c r="G31" s="5"/>
      <c r="H31" s="74"/>
      <c r="I31" s="29"/>
      <c r="J31" s="75"/>
      <c r="K31" s="72"/>
    </row>
    <row r="32" spans="1:12" ht="17.25" customHeight="1">
      <c r="A32" s="79"/>
      <c r="B32" s="82"/>
      <c r="C32" s="82"/>
      <c r="D32" s="33"/>
      <c r="G32" s="5"/>
      <c r="H32" s="74"/>
      <c r="I32" s="29"/>
      <c r="J32" s="75"/>
      <c r="K32" s="72"/>
    </row>
    <row r="33" spans="1:11" ht="17.25" customHeight="1">
      <c r="A33" s="107" t="s">
        <v>43</v>
      </c>
      <c r="B33" s="108"/>
      <c r="C33" s="109"/>
      <c r="D33" s="33"/>
      <c r="G33" s="5"/>
      <c r="H33" s="46"/>
      <c r="J33" s="20"/>
      <c r="K33" s="45"/>
    </row>
    <row r="34" spans="1:11" ht="18" customHeight="1">
      <c r="A34" s="107"/>
      <c r="B34" s="108"/>
      <c r="C34" s="109"/>
      <c r="D34" s="33"/>
      <c r="G34" s="5"/>
      <c r="H34" s="46"/>
      <c r="J34" s="20"/>
      <c r="K34" s="50"/>
    </row>
    <row r="35" spans="1:11" ht="18" customHeight="1">
      <c r="A35" s="83"/>
      <c r="B35" s="31"/>
      <c r="D35" s="33"/>
      <c r="G35" s="5"/>
      <c r="J35" s="20"/>
      <c r="K35" s="43"/>
    </row>
    <row r="36" spans="1:11" ht="18" customHeight="1">
      <c r="A36" s="83"/>
      <c r="B36" s="31"/>
      <c r="D36" s="33"/>
      <c r="G36" s="5"/>
      <c r="H36" s="46"/>
      <c r="J36" s="20"/>
      <c r="K36" s="50"/>
    </row>
    <row r="37" spans="1:11" ht="18" customHeight="1">
      <c r="A37" s="34"/>
      <c r="B37" s="17"/>
      <c r="C37" s="17"/>
      <c r="D37" s="16"/>
      <c r="F37" s="17"/>
      <c r="G37" s="18"/>
      <c r="H37" s="35"/>
      <c r="I37" s="17"/>
      <c r="J37" s="36"/>
      <c r="K37" s="44"/>
    </row>
    <row r="38" spans="1:11" ht="18" customHeight="1">
      <c r="A38" s="37">
        <f>SUM(A24:A37)</f>
        <v>850</v>
      </c>
      <c r="B38" s="110" t="str">
        <f>B24</f>
        <v>BALES</v>
      </c>
      <c r="C38" s="111"/>
      <c r="D38" s="22"/>
      <c r="E38" s="24"/>
      <c r="F38" s="23"/>
      <c r="G38" s="25"/>
      <c r="H38" s="38"/>
      <c r="I38" s="24"/>
      <c r="J38" s="27">
        <f>SUM(J23:J37)</f>
        <v>0</v>
      </c>
      <c r="K38" s="27">
        <f>SUM(K23:K37)</f>
        <v>20930.2</v>
      </c>
    </row>
    <row r="39" spans="1:11" ht="18" customHeight="1">
      <c r="A39" s="60" t="str">
        <f>'INV1'!A38</f>
        <v>CONTAINER NO / SEAL NO:</v>
      </c>
      <c r="B39" s="55"/>
      <c r="C39" s="55"/>
      <c r="J39" s="28"/>
      <c r="K39" s="28"/>
    </row>
    <row r="40" spans="1:11" ht="18" customHeight="1">
      <c r="A40" s="60">
        <f>'INV1'!A39</f>
        <v>0</v>
      </c>
      <c r="B40" s="60"/>
      <c r="C40" s="60"/>
      <c r="D40" s="10"/>
      <c r="E40" s="39"/>
      <c r="F40" s="10"/>
      <c r="G40" s="10"/>
      <c r="H40" s="59" t="str">
        <f>'INV1'!F39</f>
        <v>For and on behalf of</v>
      </c>
      <c r="I40" s="60"/>
      <c r="J40" s="60"/>
      <c r="K40" s="56"/>
    </row>
    <row r="41" spans="1:11" ht="18" customHeight="1">
      <c r="A41" s="60">
        <f>'INV1'!A40</f>
        <v>0</v>
      </c>
      <c r="H41" s="56" t="str">
        <f>'INV1'!F40</f>
        <v>ZHEJIANG LEFEI TEXTILE CO.,LTD.</v>
      </c>
      <c r="I41" s="56"/>
      <c r="J41" s="56"/>
      <c r="K41" s="56"/>
    </row>
    <row r="42" spans="1:11" ht="18" customHeight="1">
      <c r="A42" s="60">
        <f>'INV1'!A41</f>
        <v>0</v>
      </c>
      <c r="H42" s="56"/>
      <c r="I42" s="56"/>
      <c r="J42" s="56"/>
      <c r="K42" s="56"/>
    </row>
    <row r="43" spans="1:11" ht="18" customHeight="1">
      <c r="A43" s="60"/>
      <c r="H43" s="56"/>
      <c r="I43" s="56"/>
      <c r="J43" s="56"/>
      <c r="K43" s="56"/>
    </row>
    <row r="44" spans="1:11" ht="18" customHeight="1">
      <c r="A44" s="60"/>
      <c r="H44" s="56"/>
      <c r="I44" s="56"/>
      <c r="J44" s="56"/>
      <c r="K44" s="56"/>
    </row>
    <row r="45" spans="1:11" ht="18" customHeight="1">
      <c r="A45" s="60"/>
      <c r="H45" s="56"/>
      <c r="I45" s="56"/>
      <c r="J45" s="56"/>
      <c r="K45" s="56"/>
    </row>
    <row r="46" spans="1:11" ht="18" customHeight="1">
      <c r="A46" s="60"/>
      <c r="H46" s="58"/>
      <c r="I46" s="58"/>
      <c r="J46" s="58"/>
      <c r="K46" s="58"/>
    </row>
    <row r="47" spans="1:11" ht="23.25" customHeight="1">
      <c r="H47" s="56" t="str">
        <f>'INV1'!F46</f>
        <v>Authorized &amp; Signature</v>
      </c>
      <c r="I47" s="56"/>
      <c r="J47" s="56"/>
      <c r="K47" s="56"/>
    </row>
    <row r="48" spans="1:11" ht="18" customHeight="1">
      <c r="H48" s="56"/>
      <c r="I48" s="56"/>
      <c r="J48" s="56"/>
      <c r="K48" s="56"/>
    </row>
    <row r="55" spans="1:11" ht="18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8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8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8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8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8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8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8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8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8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8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8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8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8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8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8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8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8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8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8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8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8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8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8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8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8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8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8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8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8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8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8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8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8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8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8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8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8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</sheetData>
  <mergeCells count="12">
    <mergeCell ref="A1:K1"/>
    <mergeCell ref="A2:K2"/>
    <mergeCell ref="A3:K3"/>
    <mergeCell ref="A4:K4"/>
    <mergeCell ref="I10:J10"/>
    <mergeCell ref="A7:K7"/>
    <mergeCell ref="A16:B16"/>
    <mergeCell ref="A17:B17"/>
    <mergeCell ref="K10:K15"/>
    <mergeCell ref="A33:C34"/>
    <mergeCell ref="B38:C38"/>
    <mergeCell ref="H20:I20"/>
  </mergeCells>
  <phoneticPr fontId="2" type="noConversion"/>
  <printOptions horizontalCentered="1"/>
  <pageMargins left="0" right="0" top="0.51181102362204722" bottom="0.51181102362204722" header="0.51181102362204722" footer="0.51181102362204722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INV1</vt:lpstr>
      <vt:lpstr>PKL1</vt:lpstr>
      <vt:lpstr>'INV1'!Print_Area</vt:lpstr>
    </vt:vector>
  </TitlesOfParts>
  <Company>023 987711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 HENG COMPUTER</dc:creator>
  <cp:lastModifiedBy>duyao</cp:lastModifiedBy>
  <cp:lastPrinted>2024-09-27T04:50:04Z</cp:lastPrinted>
  <dcterms:created xsi:type="dcterms:W3CDTF">2006-11-06T02:31:50Z</dcterms:created>
  <dcterms:modified xsi:type="dcterms:W3CDTF">2026-09-14T07:52:36Z</dcterms:modified>
</cp:coreProperties>
</file>